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Programs" sheetId="3" r:id="rId7"/>
    <sheet state="visible" name="Scholarships" sheetId="4" r:id="rId8"/>
    <sheet state="visible" name="Applications" sheetId="5" r:id="rId9"/>
    <sheet state="visible" name="Deadlines" sheetId="6" r:id="rId10"/>
    <sheet state="visible" name="Tasks" sheetId="7" r:id="rId11"/>
    <sheet state="visible" name="Documents" sheetId="8" r:id="rId12"/>
    <sheet state="visible" name="Essays" sheetId="9" r:id="rId13"/>
    <sheet state="visible" name="Recommenders" sheetId="10" r:id="rId14"/>
    <sheet state="visible" name="Contacts" sheetId="11" r:id="rId15"/>
    <sheet state="visible" name="Costs" sheetId="12" r:id="rId16"/>
    <sheet state="visible" name="Decisions" sheetId="13" r:id="rId17"/>
    <sheet state="visible" name="Reminders" sheetId="14" r:id="rId18"/>
    <sheet state="visible" name="Setup" sheetId="15" r:id="rId19"/>
  </sheets>
  <definedNames/>
  <calcPr/>
</workbook>
</file>

<file path=xl/sharedStrings.xml><?xml version="1.0" encoding="utf-8"?>
<sst xmlns="http://schemas.openxmlformats.org/spreadsheetml/2006/main" count="907" uniqueCount="547">
  <si>
    <t>GradPilot · Graduate Applications 2027</t>
  </si>
  <si>
    <t>A secure, beautifully structured Google Sheets command center for Emmanuel Adoum.</t>
  </si>
  <si>
    <t>GradPilot Dashboard</t>
  </si>
  <si>
    <t>Application cycle 2027 · Africa/Accra · SAMPLE rows are excluded from every metric.</t>
  </si>
  <si>
    <t>Start in five minutes</t>
  </si>
  <si>
    <t>Your application command center</t>
  </si>
  <si>
    <t>1</t>
  </si>
  <si>
    <t>Open Setup</t>
  </si>
  <si>
    <t>Confirm target intake, timezone, graduation month and score weights.</t>
  </si>
  <si>
    <t>Programs tracked</t>
  </si>
  <si>
    <t>Keep this Sheet private in Google Drive. Do not store application-portal passwords, payment-card details, TOTP codes, or recovery secrets. Use Drive file links for documents and check sharing before adding collaborators. The Sheet is a planning tracker—not a password manager.</t>
  </si>
  <si>
    <t>Active applications</t>
  </si>
  <si>
    <t>Scholarships tracked</t>
  </si>
  <si>
    <t>Tasks due in 7 days</t>
  </si>
  <si>
    <t>Documents ready</t>
  </si>
  <si>
    <t>Deadlines in 30 days</t>
  </si>
  <si>
    <t>2</t>
  </si>
  <si>
    <t>Replace SAMPLE rows</t>
  </si>
  <si>
    <t>Every tracker tab contains one blue SAMPLE row. Replace it with your first real record or delete it.</t>
  </si>
  <si>
    <t>3</t>
  </si>
  <si>
    <t>Use stable IDs</t>
  </si>
  <si>
    <t>Create short unique IDs such as PRG-001, APP-001 and DOC-001. Linked tabs use these IDs.</t>
  </si>
  <si>
    <t>4</t>
  </si>
  <si>
    <t>Enter verified deadlines</t>
  </si>
  <si>
    <t>Add the official source URL and Last Verified date. Never rely only on memory.</t>
  </si>
  <si>
    <t>5</t>
  </si>
  <si>
    <t>Review Dashboard weekly</t>
  </si>
  <si>
    <t>The dashboard ignores IDs beginning with SAMPLE- and updates from your real records.</t>
  </si>
  <si>
    <t>Workbook map</t>
  </si>
  <si>
    <t>Dashboard</t>
  </si>
  <si>
    <t>What needs attention now</t>
  </si>
  <si>
    <t>Scholarships</t>
  </si>
  <si>
    <t>Programs</t>
  </si>
  <si>
    <t>Input</t>
  </si>
  <si>
    <t>Track eligibility, funding coverage, nomination/separate applications, and verified deadlines.</t>
  </si>
  <si>
    <t>Pale yellow cells are intended for manual setup values.</t>
  </si>
  <si>
    <t>Shortlist programs, score fit transparently, and keep official links and verification dates.</t>
  </si>
  <si>
    <t>University/program shortlist and weighted fit score</t>
  </si>
  <si>
    <t>Tip: SAMPLE rows are instructional and ignored by Dashboard.</t>
  </si>
  <si>
    <t>Formula</t>
  </si>
  <si>
    <t>Pale green cells are calculated—avoid overwriting them.</t>
  </si>
  <si>
    <t>Funding eligibility, compatibility and deadlines</t>
  </si>
  <si>
    <t>Sample</t>
  </si>
  <si>
    <t>Pale blue rows demonstrate entry structure and are ignored by Dashboard.</t>
  </si>
  <si>
    <t>Applications</t>
  </si>
  <si>
    <t>Submission pipeline, fees, blockers and decisions</t>
  </si>
  <si>
    <t>Urgent</t>
  </si>
  <si>
    <t>Scholarship ID</t>
  </si>
  <si>
    <t>Amber/red means due soon, overdue, blocked or needs verification.</t>
  </si>
  <si>
    <t>Deadlines / Tasks / Reminders</t>
  </si>
  <si>
    <t>Program ID</t>
  </si>
  <si>
    <t>Planning and follow-up system</t>
  </si>
  <si>
    <t>Documents / Essays</t>
  </si>
  <si>
    <t>Material readiness and version tracking</t>
  </si>
  <si>
    <t>Recommenders / Contacts</t>
  </si>
  <si>
    <t>Scholarship</t>
  </si>
  <si>
    <t>Institution</t>
  </si>
  <si>
    <t>People, requests and follow-ups</t>
  </si>
  <si>
    <t>Provider</t>
  </si>
  <si>
    <t>Costs / Decisions</t>
  </si>
  <si>
    <t>Program</t>
  </si>
  <si>
    <t>Spending and offer comparison</t>
  </si>
  <si>
    <t>Country/Coverage</t>
  </si>
  <si>
    <t>Setup</t>
  </si>
  <si>
    <t>Degree</t>
  </si>
  <si>
    <t>Editable defaults, weights and status reference lists</t>
  </si>
  <si>
    <t>Country</t>
  </si>
  <si>
    <t>Funding Type</t>
  </si>
  <si>
    <t>Intake</t>
  </si>
  <si>
    <t>Amount</t>
  </si>
  <si>
    <t>Status</t>
  </si>
  <si>
    <t>Currency</t>
  </si>
  <si>
    <t>Coverage Notes</t>
  </si>
  <si>
    <t>Priority</t>
  </si>
  <si>
    <t>Mechanism</t>
  </si>
  <si>
    <t>Academic Fit</t>
  </si>
  <si>
    <t>Research/Career Fit</t>
  </si>
  <si>
    <t>Funding Strength</t>
  </si>
  <si>
    <t>Admission Feasibility</t>
  </si>
  <si>
    <t>Eligibility</t>
  </si>
  <si>
    <t>Location Fit</t>
  </si>
  <si>
    <t>Deadline</t>
  </si>
  <si>
    <t>Days Left</t>
  </si>
  <si>
    <t>Official URL</t>
  </si>
  <si>
    <t>Last Verified</t>
  </si>
  <si>
    <t>Notes</t>
  </si>
  <si>
    <t>Amount (GHS)</t>
  </si>
  <si>
    <t>Amount (EUR)</t>
  </si>
  <si>
    <t>Amount (USD)</t>
  </si>
  <si>
    <t>SCH-2027-001</t>
  </si>
  <si>
    <t>University of Lille Graduate Programme Fellowship</t>
  </si>
  <si>
    <t>University of Lille</t>
  </si>
  <si>
    <t>France</t>
  </si>
  <si>
    <t>PRG-2027-001</t>
  </si>
  <si>
    <t>Fellowship</t>
  </si>
  <si>
    <t>Next verified deadline</t>
  </si>
  <si>
    <t>Application pipeline</t>
  </si>
  <si>
    <t>EUR</t>
  </si>
  <si>
    <t>€8,500 for one academic year, paid in 10 monthly instalments; renewal may be requested for M2.</t>
  </si>
  <si>
    <t>Date</t>
  </si>
  <si>
    <t>Direct Application</t>
  </si>
  <si>
    <t>Days left</t>
  </si>
  <si>
    <t>Likely</t>
  </si>
  <si>
    <t>Researching</t>
  </si>
  <si>
    <t>https://graduate-programmes.univ-lille.fr/en/fellowships</t>
  </si>
  <si>
    <t>Use Applications to move each target through Researching → Preparing → Submitted → Decision. The dashboard updates automatically and excludes SAMPLE rows.</t>
  </si>
  <si>
    <t>Weighted Score</t>
  </si>
  <si>
    <t>Next Deadline</t>
  </si>
  <si>
    <t>Application Portal</t>
  </si>
  <si>
    <t>MSc Data Science</t>
  </si>
  <si>
    <t>MSc</t>
  </si>
  <si>
    <t>2027 call dates are not yet published. Incoming international students entering a covered Graduate Programme are eligible.</t>
  </si>
  <si>
    <t>Fall 2027</t>
  </si>
  <si>
    <t>Shortlisted</t>
  </si>
  <si>
    <t>Preparing</t>
  </si>
  <si>
    <t>Ready</t>
  </si>
  <si>
    <t>Submitted</t>
  </si>
  <si>
    <t>https://sciences-technologies.univ-lille.fr/informatique/formation/master-data-science</t>
  </si>
  <si>
    <t>Add the official source URL and Last Verified date in Deadlines before relying on a cutoff.</t>
  </si>
  <si>
    <t>SCH-2027-002</t>
  </si>
  <si>
    <t>Decision received</t>
  </si>
  <si>
    <t>Deutschlandstipendium — University of Passau</t>
  </si>
  <si>
    <t>Federal Government + University of Passau</t>
  </si>
  <si>
    <t>Germany</t>
  </si>
  <si>
    <t>PRG-2027-002</t>
  </si>
  <si>
    <t>Stipend Only</t>
  </si>
  <si>
    <t>Deadline horizon</t>
  </si>
  <si>
    <t>€300 per month for 12 months; international master’s students may apply. Programme tuition is already €0.</t>
  </si>
  <si>
    <t>Readiness signals</t>
  </si>
  <si>
    <t>Overdue</t>
  </si>
  <si>
    <t>Separate</t>
  </si>
  <si>
    <t>Strong target. Computer Engineering and EE are explicitly accepted; fully taught in English. The 2027 admission and fellowship deadlines are not yet published.</t>
  </si>
  <si>
    <t>Open blocking tasks</t>
  </si>
  <si>
    <t>https://www.uni-passau.de/en/deutschlandstipendium-scholarship/how-to-apply</t>
  </si>
  <si>
    <t>Weekly rhythm
1. Verify external deadlines.
2. Clear blockers.
3. Update document versions.
4. Follow up with recommenders.
5. Review scholarships and costs.</t>
  </si>
  <si>
    <t>Today</t>
  </si>
  <si>
    <t>University of Passau</t>
  </si>
  <si>
    <t>MSc Artificial Intelligence Engineering</t>
  </si>
  <si>
    <t>The university states that the next application period will open in May 2027; the closing date is not yet published.</t>
  </si>
  <si>
    <t>Winter 2027/28</t>
  </si>
  <si>
    <t>Next 7 days</t>
  </si>
  <si>
    <t>Track submission readiness, fees, decisions and the next action for every application.</t>
  </si>
  <si>
    <t>Essays final</t>
  </si>
  <si>
    <t>Next 30 days</t>
  </si>
  <si>
    <t>Application ID</t>
  </si>
  <si>
    <t>Recommendations submitted</t>
  </si>
  <si>
    <t>Round</t>
  </si>
  <si>
    <t>Program Deadline</t>
  </si>
  <si>
    <t>Open Blockers</t>
  </si>
  <si>
    <t>Costs currently due</t>
  </si>
  <si>
    <t>Application Fee</t>
  </si>
  <si>
    <t>https://www.uni-passau.de/en/msc-ai-eng</t>
  </si>
  <si>
    <t>Fee Status</t>
  </si>
  <si>
    <t>Decision</t>
  </si>
  <si>
    <t>Response Deadline</t>
  </si>
  <si>
    <t>Applicant Reference</t>
  </si>
  <si>
    <t>Portal URL</t>
  </si>
  <si>
    <t>SCH-2027-003</t>
  </si>
  <si>
    <t>Start by replacing the SAMPLE rows in Programs, Applications and Deadlines. Your real metrics will appear here automatically.</t>
  </si>
  <si>
    <t>IdEx Excellence Scholarship — Université Côte d’Azur</t>
  </si>
  <si>
    <t>Université Côte d’Azur</t>
  </si>
  <si>
    <t>SAMPLE-APP-001</t>
  </si>
  <si>
    <t>Strong target if the transcript maps to at least 35 ECTS in mathematics/theoretical CS and 40 ECTS in CS. No tuition; semester fee only.</t>
  </si>
  <si>
    <t>Financial overview · one plan, three currencies</t>
  </si>
  <si>
    <t>PRG-2027-003</t>
  </si>
  <si>
    <t>SAMPLE-PRG-001</t>
  </si>
  <si>
    <t>Tuition + Stipend</t>
  </si>
  <si>
    <t>Total costs · GHS</t>
  </si>
  <si>
    <t>Full tuition exemption plus a €5,000 stipend for one year; 10 international MSc awards.</t>
  </si>
  <si>
    <t>Total costs · EUR</t>
  </si>
  <si>
    <t>Total costs · USD</t>
  </si>
  <si>
    <t>https://univ-cotedazur.eu/msc-programs/tuition-fees/are-you-an-international-student/academic-excellence-scholarships</t>
  </si>
  <si>
    <t>Main</t>
  </si>
  <si>
    <t>The latest official award structure is recorded; the 2027 deadline is not yet published.</t>
  </si>
  <si>
    <t>MSc Data Science and Artificial Intelligence</t>
  </si>
  <si>
    <t>Potential funding · GHS</t>
  </si>
  <si>
    <t>Potential funding · EUR</t>
  </si>
  <si>
    <t>Potential funding · USD</t>
  </si>
  <si>
    <t>SCH-2027-004</t>
  </si>
  <si>
    <t>PRG-2027-004</t>
  </si>
  <si>
    <t>https://univ-cotedazur.eu/msc/msc-data-science-and-artificial-intelligence</t>
  </si>
  <si>
    <t>University Application</t>
  </si>
  <si>
    <t>Due</t>
  </si>
  <si>
    <t>Pending</t>
  </si>
  <si>
    <t>Competitive target combining applied AI and data science. IdEx funding is limited to 10 MSc awardees.</t>
  </si>
  <si>
    <t>Delete or replace this sample row.</t>
  </si>
  <si>
    <t>Confirmed funding · GHS</t>
  </si>
  <si>
    <t>Confirmed funding · EUR</t>
  </si>
  <si>
    <t>Confirmed funding · USD</t>
  </si>
  <si>
    <t>MSc Computer Science</t>
  </si>
  <si>
    <t>SCH-2027-005</t>
  </si>
  <si>
    <t>IdEx Master Scholarship — Grenoble</t>
  </si>
  <si>
    <t>Université Grenoble Alpes</t>
  </si>
  <si>
    <t>PRG-2027-005</t>
  </si>
  <si>
    <t>€9,000 for M1 for one year. Tuition waiver is not automatic; confirm MoSIG participation in the 2027 call.</t>
  </si>
  <si>
    <t>Confirmed gap · GHS</t>
  </si>
  <si>
    <t>Nomination</t>
  </si>
  <si>
    <t>Confirmed gap · EUR</t>
  </si>
  <si>
    <t>Unknown</t>
  </si>
  <si>
    <t>Confirmed gap · USD</t>
  </si>
  <si>
    <t>https://www.univ-grenoble-alpes.fr/call-for-applications-idex-master-scholarships-2026-2027-academic-year-1545508.kjsp</t>
  </si>
  <si>
    <t>Latest official M1 amount recorded. Verify that MoSIG remains eligible when the 2027 call opens.</t>
  </si>
  <si>
    <t>https://www.uni-passau.de/en/msc-computer-science</t>
  </si>
  <si>
    <t>Record each expense once in Costs; the Application Fee field is reference-only to prevent double counting. Costs exclude Waived and Refunded items. Potential funding includes active scholarship amounts; confirmed funding includes only awards recorded in Decisions. All conversions use Setup’s effective GHS rate.</t>
  </si>
  <si>
    <t>Conditional target: approximately two-thirds of prior credits must be in computer science. No tuition; semester fee only.</t>
  </si>
  <si>
    <t>SCH-2027-006</t>
  </si>
  <si>
    <t>IMT Atlantique Merit-Based Fellowship</t>
  </si>
  <si>
    <t>IMT Atlantique</t>
  </si>
  <si>
    <t>PRG-2027-006</t>
  </si>
  <si>
    <t>Partial Tuition</t>
  </si>
  <si>
    <t>Université Grenoble Alpes / Grenoble INP</t>
  </si>
  <si>
    <t>MSc Computer Science — MoSIG</t>
  </si>
  <si>
    <t>Partial tuition-fee waiver for strong MSc applicants; no separate scholarship application; award amount varies.</t>
  </si>
  <si>
    <t>Automatic</t>
  </si>
  <si>
    <t>https://www.imt-atlantique.fr/en/international/study-imt-atlantique/practical-information/scholarships-fundings</t>
  </si>
  <si>
    <t>All MSc applications are considered automatically; the official page does not publish a fixed waiver amount.</t>
  </si>
  <si>
    <t>https://mosig.imag.fr/</t>
  </si>
  <si>
    <t>Target/reach with broad research coverage in AI, software, distributed systems, security and data. Confirm MoSIG’s 2027 IdEx eligibility.</t>
  </si>
  <si>
    <t>SCH-2027-007</t>
  </si>
  <si>
    <t>Deutschlandstipendium — TU Darmstadt</t>
  </si>
  <si>
    <t>Federal Government + TU Darmstadt</t>
  </si>
  <si>
    <t>PRG-2027-007</t>
  </si>
  <si>
    <t>€300 per month for one year; open to students and incoming first-semester students selected on merit and engagement.</t>
  </si>
  <si>
    <t>MSc Information Technology — Embedded AI</t>
  </si>
  <si>
    <t>https://www.tu-darmstadt.de/deutschlandstipendium/index.en.jsp</t>
  </si>
  <si>
    <t>The 2027 application dates are not yet published. This is supplementary funding, not full living-cost coverage.</t>
  </si>
  <si>
    <t>https://www.imt-atlantique.fr/en/study/masters/msc/it-embedded-ai</t>
  </si>
  <si>
    <t>SCH-2027-008</t>
  </si>
  <si>
    <t>Deutschlandstipendium — Paderborn University</t>
  </si>
  <si>
    <t>Federal Government + Studienfonds OWL</t>
  </si>
  <si>
    <t>Hybrid target and the strongest software-plus-embedded option. Merit support is a partial tuition waiver and the amount varies.</t>
  </si>
  <si>
    <t>PRG-2027-008</t>
  </si>
  <si>
    <t>€300 per month for 12 months; selection considers academic performance and engagement.</t>
  </si>
  <si>
    <t>TU Darmstadt</t>
  </si>
  <si>
    <t>https://www2.daad.de/deutschland/stipendium/datenbank/en/21148-scholarship-database/?detail=10000207</t>
  </si>
  <si>
    <t>MSc Artificial Intelligence and Machine Learning</t>
  </si>
  <si>
    <t>Confirm Paderborn’s 2027 institutional application window after admission.</t>
  </si>
  <si>
    <t>Deadlines</t>
  </si>
  <si>
    <t>Record every important cutoff with its official source and a clear reminder plan.</t>
  </si>
  <si>
    <t>Deadline ID</t>
  </si>
  <si>
    <t>Type</t>
  </si>
  <si>
    <t>Title</t>
  </si>
  <si>
    <t>Related ID</t>
  </si>
  <si>
    <t>Related Type</t>
  </si>
  <si>
    <t>https://www.tu-darmstadt.de/studieren/studieninteressierte/studienangebot_studiengaenge/studiengang_334592.en.jsp</t>
  </si>
  <si>
    <t>Due Date</t>
  </si>
  <si>
    <t>Source URL</t>
  </si>
  <si>
    <t>Reminder Plan</t>
  </si>
  <si>
    <t>SAMPLE-DL-001</t>
  </si>
  <si>
    <t>Final</t>
  </si>
  <si>
    <t>Sample program application deadline</t>
  </si>
  <si>
    <t>Competitive. If prerequisite competencies cannot be verified from the file, a 90-minute entrance examination may be required on campus.</t>
  </si>
  <si>
    <t>Application</t>
  </si>
  <si>
    <t>Active</t>
  </si>
  <si>
    <t>SCH-2027-009</t>
  </si>
  <si>
    <t>Paris-Saclay International Master’s Scholarship (IDEX)</t>
  </si>
  <si>
    <t>https://example.edu/deadline</t>
  </si>
  <si>
    <t>Université Paris-Saclay</t>
  </si>
  <si>
    <t>30, 14, 7, 3, 1 days before</t>
  </si>
  <si>
    <t>PRG-2027-009</t>
  </si>
  <si>
    <t>Replace this sample with a verified deadline.</t>
  </si>
  <si>
    <t>Paderborn University</t>
  </si>
  <si>
    <t>€10,000 per academic year plus up to €900 for travel and visa; renewable from M1 to M2; cannot be combined with Eiffel.</t>
  </si>
  <si>
    <t>https://www.uni-paderborn.de/en/studyoffer/course_of_study/computer-science-master</t>
  </si>
  <si>
    <t>https://www.universite-paris-saclay.fr/en/admission/bourses-et-aides-financieres/international-masters-scholarships-program</t>
  </si>
  <si>
    <t>Conditional target because degree equivalence is reviewed strictly. No tuition; semester contribution applies.</t>
  </si>
  <si>
    <t>Selection is by programme coordinators after admission; there is no ordinary self-nomination route.</t>
  </si>
  <si>
    <t>M1 Artificial Intelligence</t>
  </si>
  <si>
    <t>SCH-2027-010</t>
  </si>
  <si>
    <t>France Excellence Eiffel Scholarship — Paris-Saclay</t>
  </si>
  <si>
    <t>French Ministry for Europe and Foreign Affairs / Campus France</t>
  </si>
  <si>
    <t>Government Sponsorship</t>
  </si>
  <si>
    <t>€1,200 per month, annualised here as €14,400, plus direct services; up to 24 months for M1; cannot be combined with IDEX.</t>
  </si>
  <si>
    <t>https://www.universite-paris-saclay.fr/en/education/masters-degree/computer-science/m1-artificial-intelligence</t>
  </si>
  <si>
    <t>https://www.universite-paris-saclay.fr/en/admission/bourses-et-aides-financieres/france-excellence-eiffel-scholarship</t>
  </si>
  <si>
    <t>Scholarship reach. IDEX and Eiffel cannot be combined, and only one Paris-Saclay programme may be submitted for Eiffel.</t>
  </si>
  <si>
    <t>The 2027 Paris-Saclay institutional deadline is not yet published. Only one institution and one Paris-Saclay programme may nominate the candidate.</t>
  </si>
  <si>
    <t>PRG-2027-010</t>
  </si>
  <si>
    <t>Saarland University</t>
  </si>
  <si>
    <t>https://www.uni-saarland.de/en/study/programmes/master/data-science.html</t>
  </si>
  <si>
    <t>Reach programme with a research-intensive AI and data-science environment at Saarland Informatics Campus.</t>
  </si>
  <si>
    <t>SCH-2027-011</t>
  </si>
  <si>
    <t>Deutschlandstipendium — Saarland University</t>
  </si>
  <si>
    <t>Federal Government + Saarland University</t>
  </si>
  <si>
    <t>PRG-2027-011</t>
  </si>
  <si>
    <t>€300 per month for one year, regardless of nationality; applications are normally accepted in June.</t>
  </si>
  <si>
    <t>RWTH Aachen University</t>
  </si>
  <si>
    <t>MSc Software Systems Engineering</t>
  </si>
  <si>
    <t>https://www.uni-saarland.de/en/global/welcome-center/preparing/financing.html</t>
  </si>
  <si>
    <t>The university states applications are possible from 1–30 June each year; reconfirm the 2027 cycle before entry.</t>
  </si>
  <si>
    <t>https://www.rwth-aachen.de/cms/root/studium/vor-dem-studium/studiengaenge/liste-aktuelle-studiengaenge/studiengangbeschreibung/~bnhr/software-systems-engineering-m-sc/?lidx=1</t>
  </si>
  <si>
    <t>SCH-2027-012</t>
  </si>
  <si>
    <t>Deutschlandstipendium — RWTH Aachen</t>
  </si>
  <si>
    <t>Federal Government + RWTH Aachen</t>
  </si>
  <si>
    <t>€300 per month; selection considers academic achievement and broader personal or social engagement.</t>
  </si>
  <si>
    <t>Reach programme focused on large software systems. Exact consecutive-CS prerequisites should be audited against the transcript.</t>
  </si>
  <si>
    <t>https://www.rwth-aachen.de/cms/root/transfer/spenden-und-sponsoring/deutschlandstipendium/~emd/bewerben/?lidx=1</t>
  </si>
  <si>
    <t>The 2027 application window is not yet published; scholarship funding is supplementary.</t>
  </si>
  <si>
    <t>PRG-2027-012</t>
  </si>
  <si>
    <t>ENS de Lyon</t>
  </si>
  <si>
    <t>Master of Computer Science — Concepts and Applications</t>
  </si>
  <si>
    <t>SCH-2027-013</t>
  </si>
  <si>
    <t>Ampère Scholarship of Excellence</t>
  </si>
  <si>
    <t>https://informatique.ens-lyon.fr/en/academic-programs/computer-science-department</t>
  </si>
  <si>
    <t>€1,000 per month for 12 months; award is highly competitive and renewal is subject to the applicable call conditions.</t>
  </si>
  <si>
    <t>High reach. Research-oriented computer science taught in English; admission and the Ampère scholarship are highly selective.</t>
  </si>
  <si>
    <t>https://www.ens-lyon.fr/en/studies/admissions/application-masters-degrees-and-scholarships</t>
  </si>
  <si>
    <t>The latest official value is recorded; exact 2027 application dates are not yet published.</t>
  </si>
  <si>
    <t>Tasks</t>
  </si>
  <si>
    <t>Turn application requirements into concrete, prioritized work.</t>
  </si>
  <si>
    <t>Task ID</t>
  </si>
  <si>
    <t>Task</t>
  </si>
  <si>
    <t>Blocking?</t>
  </si>
  <si>
    <t>SAMPLE-TASK-001</t>
  </si>
  <si>
    <t>Request updated official transcript</t>
  </si>
  <si>
    <t>To Do</t>
  </si>
  <si>
    <t>Delete or replace this sample task.</t>
  </si>
  <si>
    <t>Documents</t>
  </si>
  <si>
    <t>Track exact document versions and link private Google Drive files—never public copies.</t>
  </si>
  <si>
    <t>Document ID</t>
  </si>
  <si>
    <t>Document</t>
  </si>
  <si>
    <t>Category</t>
  </si>
  <si>
    <t>Version</t>
  </si>
  <si>
    <t>Drive File Link</t>
  </si>
  <si>
    <t>Expiry Date</t>
  </si>
  <si>
    <t>Current?</t>
  </si>
  <si>
    <t>Last Updated</t>
  </si>
  <si>
    <t>SAMPLE-DOC-001</t>
  </si>
  <si>
    <t>Curriculum Vitae</t>
  </si>
  <si>
    <t>CV</t>
  </si>
  <si>
    <t>v1</t>
  </si>
  <si>
    <t>Needs Update</t>
  </si>
  <si>
    <t>Add a private Drive file link, then replace this sample.</t>
  </si>
  <si>
    <t>Essays</t>
  </si>
  <si>
    <t>Track prompts, limits, versions, reviews and final draft links.</t>
  </si>
  <si>
    <t>Essay ID</t>
  </si>
  <si>
    <t>Essay / Prompt</t>
  </si>
  <si>
    <t>Word Limit</t>
  </si>
  <si>
    <t>Word Count</t>
  </si>
  <si>
    <t>Current Version</t>
  </si>
  <si>
    <t>Draft Link</t>
  </si>
  <si>
    <t>Reviewer</t>
  </si>
  <si>
    <t>SAMPLE-ESS-001</t>
  </si>
  <si>
    <t>Statement of purpose</t>
  </si>
  <si>
    <t>Statement of Purpose</t>
  </si>
  <si>
    <t>Not Started</t>
  </si>
  <si>
    <t>v0</t>
  </si>
  <si>
    <t>Replace this sample with the exact official prompt.</t>
  </si>
  <si>
    <t>Recommenders</t>
  </si>
  <si>
    <t>Track every recommendation request, workload, follow-up and submission date.</t>
  </si>
  <si>
    <t>Recommender ID</t>
  </si>
  <si>
    <t>Name</t>
  </si>
  <si>
    <t>Title / Institution</t>
  </si>
  <si>
    <t>Email</t>
  </si>
  <si>
    <t>Relationship</t>
  </si>
  <si>
    <t>Request ID</t>
  </si>
  <si>
    <t>Requested</t>
  </si>
  <si>
    <t>Follow-up</t>
  </si>
  <si>
    <t>SAMPLE-REC-001</t>
  </si>
  <si>
    <t>Sample Recommender</t>
  </si>
  <si>
    <t>Professor · Sample University</t>
  </si>
  <si>
    <t>sample@example.edu</t>
  </si>
  <si>
    <t>Course instructor</t>
  </si>
  <si>
    <t>SAMPLE-REQ-001</t>
  </si>
  <si>
    <t>Planned</t>
  </si>
  <si>
    <t>Contacts</t>
  </si>
  <si>
    <t>Keep professor, admissions, alumni and scholarship conversations organized.</t>
  </si>
  <si>
    <t>Contact ID</t>
  </si>
  <si>
    <t>Profile URL</t>
  </si>
  <si>
    <t>Last Contacted</t>
  </si>
  <si>
    <t>Next Follow-up</t>
  </si>
  <si>
    <t>SAMPLE-CON-001</t>
  </si>
  <si>
    <t>Sample Professor</t>
  </si>
  <si>
    <t>Professor</t>
  </si>
  <si>
    <t>Sample University</t>
  </si>
  <si>
    <t>MSc Artificial Intelligence</t>
  </si>
  <si>
    <t>Delete or replace this sample contact.</t>
  </si>
  <si>
    <t>Costs</t>
  </si>
  <si>
    <t>Track exact costs by currency without guessed exchange rates.</t>
  </si>
  <si>
    <t>Cost ID</t>
  </si>
  <si>
    <t>Description</t>
  </si>
  <si>
    <t>Paid Date</t>
  </si>
  <si>
    <t>SAMPLE-COST-001</t>
  </si>
  <si>
    <t>Sample application fee</t>
  </si>
  <si>
    <t>Delete or replace this sample cost.</t>
  </si>
  <si>
    <t>Decisions</t>
  </si>
  <si>
    <t>Compare offers, funding conditions, response deadlines and final choices.</t>
  </si>
  <si>
    <t>Decision ID</t>
  </si>
  <si>
    <t>Admission Status</t>
  </si>
  <si>
    <t>Scholarship Status</t>
  </si>
  <si>
    <t>Funding Amount</t>
  </si>
  <si>
    <t>Conditions</t>
  </si>
  <si>
    <t>Deposit</t>
  </si>
  <si>
    <t>Deposit Currency</t>
  </si>
  <si>
    <t>Final Choice?</t>
  </si>
  <si>
    <t>Funding (GHS)</t>
  </si>
  <si>
    <t>Funding (EUR)</t>
  </si>
  <si>
    <t>Funding (USD)</t>
  </si>
  <si>
    <t>Deposit (GHS)</t>
  </si>
  <si>
    <t>Deposit (EUR)</t>
  </si>
  <si>
    <t>Deposit (USD)</t>
  </si>
  <si>
    <t>SAMPLE-DEC-001</t>
  </si>
  <si>
    <t>Delete or replace this sample decision.</t>
  </si>
  <si>
    <t>Reminders</t>
  </si>
  <si>
    <t>Plan in-app, push or email reminders and record what was delivered.</t>
  </si>
  <si>
    <t>Reminder ID</t>
  </si>
  <si>
    <t>Reminder</t>
  </si>
  <si>
    <t>Remind At</t>
  </si>
  <si>
    <t>Channel</t>
  </si>
  <si>
    <t>Sent At</t>
  </si>
  <si>
    <t>SAMPLE-REM-001</t>
  </si>
  <si>
    <t>Verify and prepare for sample deadline</t>
  </si>
  <si>
    <t>In App</t>
  </si>
  <si>
    <t>Scheduled</t>
  </si>
  <si>
    <t>Delete or replace this sample reminder.</t>
  </si>
  <si>
    <t>Edit the yellow values. Dropdown reference lists are maintained here for transparency.</t>
  </si>
  <si>
    <t>Application cycle defaults</t>
  </si>
  <si>
    <t>Owner</t>
  </si>
  <si>
    <t>Emmanuel Adoum</t>
  </si>
  <si>
    <t>Target intake year</t>
  </si>
  <si>
    <t>Timezone</t>
  </si>
  <si>
    <t>Africa/Accra</t>
  </si>
  <si>
    <t>Expected graduation</t>
  </si>
  <si>
    <t>May 2027</t>
  </si>
  <si>
    <t>Program scoring weights · must total 100</t>
  </si>
  <si>
    <t>Academic fit</t>
  </si>
  <si>
    <t>Research/career fit</t>
  </si>
  <si>
    <t>Funding strength</t>
  </si>
  <si>
    <t>Admission feasibility</t>
  </si>
  <si>
    <t>Location/personal fit</t>
  </si>
  <si>
    <t>Total</t>
  </si>
  <si>
    <t>Scale</t>
  </si>
  <si>
    <t>Scores: 0–5</t>
  </si>
  <si>
    <t>Program status</t>
  </si>
  <si>
    <t>Application status</t>
  </si>
  <si>
    <t>Scholarship status</t>
  </si>
  <si>
    <t>Task status</t>
  </si>
  <si>
    <t>Document status</t>
  </si>
  <si>
    <t>Essay status</t>
  </si>
  <si>
    <t>Recommendation status</t>
  </si>
  <si>
    <t>Fee/Cost status</t>
  </si>
  <si>
    <t>Related type</t>
  </si>
  <si>
    <t>Reminder channel</t>
  </si>
  <si>
    <t>Deadline type</t>
  </si>
  <si>
    <t>Funding type</t>
  </si>
  <si>
    <t>Exploring</t>
  </si>
  <si>
    <t>Missing</t>
  </si>
  <si>
    <t>GHS</t>
  </si>
  <si>
    <t>Full Scholarship</t>
  </si>
  <si>
    <t>Eligible</t>
  </si>
  <si>
    <t>In Progress</t>
  </si>
  <si>
    <t>Draft</t>
  </si>
  <si>
    <t>Outlining</t>
  </si>
  <si>
    <t>Admitted</t>
  </si>
  <si>
    <t>Web Push</t>
  </si>
  <si>
    <t>MEng</t>
  </si>
  <si>
    <t>Switzerland</t>
  </si>
  <si>
    <t>Full Tuition</t>
  </si>
  <si>
    <t>Applying</t>
  </si>
  <si>
    <t>Blocked</t>
  </si>
  <si>
    <t>Drafting</t>
  </si>
  <si>
    <t>Accepted</t>
  </si>
  <si>
    <t>Paid</t>
  </si>
  <si>
    <t>Waitlisted</t>
  </si>
  <si>
    <t>Funding</t>
  </si>
  <si>
    <t>MA</t>
  </si>
  <si>
    <t>USD</t>
  </si>
  <si>
    <t>Applied</t>
  </si>
  <si>
    <t>Nomination Pending</t>
  </si>
  <si>
    <t>Done</t>
  </si>
  <si>
    <t>Reviewing</t>
  </si>
  <si>
    <t>Ineligible</t>
  </si>
  <si>
    <t>Waived</t>
  </si>
  <si>
    <t>Rejected</t>
  </si>
  <si>
    <t>Scholarship Application</t>
  </si>
  <si>
    <t>PhD</t>
  </si>
  <si>
    <t>United Kingdom (UK)</t>
  </si>
  <si>
    <t>GBP</t>
  </si>
  <si>
    <t>Tuition Waiver</t>
  </si>
  <si>
    <t>Closed</t>
  </si>
  <si>
    <t>Cancelled</t>
  </si>
  <si>
    <t>Expired</t>
  </si>
  <si>
    <t>Declined</t>
  </si>
  <si>
    <t>Needs Verification</t>
  </si>
  <si>
    <t>Refunded</t>
  </si>
  <si>
    <t>Deferred</t>
  </si>
  <si>
    <t>Recommendation</t>
  </si>
  <si>
    <t>Other</t>
  </si>
  <si>
    <t>Netherlands</t>
  </si>
  <si>
    <t>CHF</t>
  </si>
  <si>
    <t>Archived</t>
  </si>
  <si>
    <t>Interview</t>
  </si>
  <si>
    <t>Enrolled</t>
  </si>
  <si>
    <t>China</t>
  </si>
  <si>
    <t>CAD</t>
  </si>
  <si>
    <t>Tuition + Stipend + Travel</t>
  </si>
  <si>
    <t>Awarded</t>
  </si>
  <si>
    <t>Withdrawn</t>
  </si>
  <si>
    <t>Essay</t>
  </si>
  <si>
    <t>Canada</t>
  </si>
  <si>
    <t>CNY</t>
  </si>
  <si>
    <t>Tuition + Stipend + Travel + Insurance</t>
  </si>
  <si>
    <t>Reserve</t>
  </si>
  <si>
    <t>Recommender</t>
  </si>
  <si>
    <t>Internal</t>
  </si>
  <si>
    <t>Japan</t>
  </si>
  <si>
    <t>JPY</t>
  </si>
  <si>
    <t>Contact</t>
  </si>
  <si>
    <t>Custom</t>
  </si>
  <si>
    <t>Erasmus Mundus (Multi-country)</t>
  </si>
  <si>
    <t>XAF</t>
  </si>
  <si>
    <t>Research Assistantship</t>
  </si>
  <si>
    <t>General</t>
  </si>
  <si>
    <t>SEK</t>
  </si>
  <si>
    <t>Teaching Assistantship</t>
  </si>
  <si>
    <t>Not Required</t>
  </si>
  <si>
    <t>NOK</t>
  </si>
  <si>
    <t>Graduate Assistantship</t>
  </si>
  <si>
    <t>DKK</t>
  </si>
  <si>
    <t>PLN</t>
  </si>
  <si>
    <t>Grant / Bursary</t>
  </si>
  <si>
    <t>CZK</t>
  </si>
  <si>
    <t>HUF</t>
  </si>
  <si>
    <t>Employer Sponsorship</t>
  </si>
  <si>
    <t>Self-funded</t>
  </si>
  <si>
    <t>Loan</t>
  </si>
  <si>
    <t>Unknown / To verify</t>
  </si>
  <si>
    <t>Currency conversion · GHS base</t>
  </si>
  <si>
    <t>Symbol</t>
  </si>
  <si>
    <t>Live GHS per unit</t>
  </si>
  <si>
    <t>Manual override</t>
  </si>
  <si>
    <t>Effective GHS per unit</t>
  </si>
  <si>
    <t>Source</t>
  </si>
  <si>
    <t>Manual rate date</t>
  </si>
  <si>
    <t>GH₵</t>
  </si>
  <si>
    <t>€</t>
  </si>
  <si>
    <t>$</t>
  </si>
  <si>
    <t>£</t>
  </si>
  <si>
    <t>C$</t>
  </si>
  <si>
    <t>CN¥</t>
  </si>
  <si>
    <t>JP¥</t>
  </si>
  <si>
    <t>FCFA</t>
  </si>
  <si>
    <t>kr</t>
  </si>
  <si>
    <t>zł</t>
  </si>
  <si>
    <t>Kč</t>
  </si>
  <si>
    <t>Ft</t>
  </si>
  <si>
    <t>Live rates use GOOGLEFINANCE. For a locked planning or actual transaction rate, enter GHS per 1 unit in Manual override and record the 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</si>
</sst>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yyyy-mm-dd"/>
    <numFmt numFmtId="166" formatCode="&quot;GH₵&quot; #,##0.00"/>
    <numFmt numFmtId="167" formatCode="€#,##0.00"/>
    <numFmt numFmtId="168" formatCode="$#,##0.00"/>
    <numFmt numFmtId="169" formatCode="M/d/yyyy H:mm:ss"/>
    <numFmt numFmtId="170" formatCode="M/d/yyyy"/>
    <numFmt numFmtId="171" formatCode="0.0000"/>
  </numFmts>
  <fonts count="27">
    <font>
      <sz val="11.0"/>
      <color rgb="FF000000"/>
      <name val="Carlito"/>
      <scheme val="minor"/>
    </font>
    <font>
      <b/>
      <sz val="20.0"/>
      <color rgb="FFFFFFFF"/>
      <name val="Georgia"/>
    </font>
    <font>
      <i/>
      <sz val="10.0"/>
      <color rgb="FF312E81"/>
      <name val="Arial"/>
    </font>
    <font>
      <sz val="10.0"/>
      <color rgb="FF172033"/>
      <name val="Arial"/>
    </font>
    <font>
      <b/>
      <sz val="15.0"/>
      <color rgb="FFFFFFFF"/>
      <name val="Georgia"/>
    </font>
    <font>
      <b/>
      <sz val="10.0"/>
      <color rgb="FFFFFFFF"/>
      <name val="Arial"/>
    </font>
    <font>
      <b/>
      <sz val="10.0"/>
      <color rgb="FF312E81"/>
      <name val="Arial"/>
    </font>
    <font>
      <sz val="11.0"/>
      <color rgb="FF172033"/>
      <name val="Arial"/>
    </font>
    <font/>
    <font>
      <b/>
      <sz val="14.0"/>
      <color rgb="FF312E81"/>
      <name val="Georgia"/>
    </font>
    <font>
      <b/>
      <sz val="24.0"/>
      <color rgb="FF312E81"/>
      <name val="Georgia"/>
    </font>
    <font>
      <i/>
      <sz val="10.0"/>
      <color rgb="FFB45309"/>
      <name val="Arial"/>
    </font>
    <font>
      <b/>
      <sz val="10.0"/>
      <color theme="1"/>
      <name val="Arial"/>
    </font>
    <font>
      <color theme="1"/>
      <name val="Carlito"/>
      <scheme val="minor"/>
    </font>
    <font>
      <i/>
      <sz val="10.0"/>
      <color rgb="FF172033"/>
      <name val="Arial"/>
    </font>
    <font>
      <b/>
      <sz val="14.0"/>
      <color rgb="FFFFFFFF"/>
      <name val="Georgia"/>
    </font>
    <font>
      <b/>
      <sz val="15.0"/>
      <color rgb="FF312E81"/>
      <name val="Georgia"/>
    </font>
    <font>
      <sz val="11.0"/>
      <color rgb="FF312E81"/>
      <name val="Arial"/>
    </font>
    <font>
      <i/>
      <u/>
      <sz val="10.0"/>
      <color rgb="FF172033"/>
      <name val="Arial"/>
    </font>
    <font>
      <b/>
      <sz val="14.0"/>
      <color rgb="FF172033"/>
      <name val="Georgia"/>
    </font>
    <font>
      <b/>
      <sz val="17.0"/>
      <color rgb="FF312E81"/>
      <name val="Georgia"/>
    </font>
    <font>
      <b/>
      <sz val="24.0"/>
      <color rgb="FFB45309"/>
      <name val="Georgia"/>
    </font>
    <font>
      <i/>
      <u/>
      <sz val="10.0"/>
      <color rgb="FF172033"/>
      <name val="Arial"/>
    </font>
    <font>
      <sz val="11.0"/>
      <color rgb="FF047857"/>
      <name val="Arial"/>
    </font>
    <font>
      <u/>
      <sz val="10.0"/>
      <color rgb="FF172033"/>
      <name val="Arial"/>
    </font>
    <font>
      <b/>
      <sz val="10.0"/>
      <color rgb="FFB45309"/>
      <name val="Arial"/>
    </font>
    <font>
      <b/>
      <sz val="22.0"/>
      <color rgb="FF312E81"/>
      <name val="Georgia"/>
    </font>
  </fonts>
  <fills count="14">
    <fill>
      <patternFill patternType="none"/>
    </fill>
    <fill>
      <patternFill patternType="lightGray"/>
    </fill>
    <fill>
      <patternFill patternType="solid">
        <fgColor rgb="FF312E81"/>
        <bgColor rgb="FF312E81"/>
      </patternFill>
    </fill>
    <fill>
      <patternFill patternType="solid">
        <fgColor rgb="FFEEF2FF"/>
        <bgColor rgb="FFEEF2FF"/>
      </patternFill>
    </fill>
    <fill>
      <patternFill patternType="solid">
        <fgColor rgb="FF0F766E"/>
        <bgColor rgb="FF0F766E"/>
      </patternFill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ECFDF5"/>
        <bgColor rgb="FFECFDF5"/>
      </patternFill>
    </fill>
    <fill>
      <patternFill patternType="solid">
        <fgColor rgb="FFE0F2FE"/>
        <bgColor rgb="FFE0F2FE"/>
      </patternFill>
    </fill>
    <fill>
      <patternFill patternType="solid">
        <fgColor rgb="FFD1FAE5"/>
        <bgColor rgb="FFD1FAE5"/>
      </patternFill>
    </fill>
    <fill>
      <patternFill patternType="solid">
        <fgColor rgb="FFEFF6FF"/>
        <bgColor rgb="FFEFF6FF"/>
      </patternFill>
    </fill>
  </fills>
  <borders count="30">
    <border/>
    <border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</border>
    <border>
      <left style="thin">
        <color rgb="FFF59E0B"/>
      </left>
      <top style="thin">
        <color rgb="FFF59E0B"/>
      </top>
    </border>
    <border>
      <top style="thin">
        <color rgb="FFF59E0B"/>
      </top>
    </border>
    <border>
      <right style="thin">
        <color rgb="FFF59E0B"/>
      </right>
      <top style="thin">
        <color rgb="FFF59E0B"/>
      </top>
    </border>
    <border>
      <left style="thin">
        <color rgb="FFF59E0B"/>
      </left>
    </border>
    <border>
      <right style="thin">
        <color rgb="FFF59E0B"/>
      </right>
    </border>
    <border>
      <left style="thin">
        <color rgb="FFF59E0B"/>
      </left>
      <bottom style="thin">
        <color rgb="FFF59E0B"/>
      </bottom>
    </border>
    <border>
      <bottom style="thin">
        <color rgb="FFF59E0B"/>
      </bottom>
    </border>
    <border>
      <right style="thin">
        <color rgb="FFF59E0B"/>
      </right>
      <bottom style="thin">
        <color rgb="FFF59E0B"/>
      </bottom>
    </border>
    <border>
      <left style="thin">
        <color rgb="FFDDE3EC"/>
      </left>
      <top style="thin">
        <color rgb="FFDDE3EC"/>
      </top>
    </border>
    <border>
      <right style="thin">
        <color rgb="FFDDE3EC"/>
      </right>
      <top style="thin">
        <color rgb="FFDDE3EC"/>
      </top>
    </border>
    <border>
      <top style="thin">
        <color rgb="FFDDE3EC"/>
      </top>
    </border>
    <border>
      <left style="thin">
        <color rgb="FFDDE3EC"/>
      </left>
    </border>
    <border>
      <right style="thin">
        <color rgb="FFDDE3EC"/>
      </right>
    </border>
    <border>
      <left style="thin">
        <color rgb="FF7DD3FC"/>
      </left>
      <top style="thin">
        <color rgb="FF7DD3FC"/>
      </top>
      <bottom style="thin">
        <color rgb="FF7DD3FC"/>
      </bottom>
    </border>
    <border>
      <left style="thin">
        <color rgb="FFDDE3EC"/>
      </left>
      <bottom style="thin">
        <color rgb="FFDDE3EC"/>
      </bottom>
    </border>
    <border>
      <right style="thin">
        <color rgb="FFDDE3EC"/>
      </right>
      <bottom style="thin">
        <color rgb="FFDDE3EC"/>
      </bottom>
    </border>
    <border>
      <bottom style="thin">
        <color rgb="FFDDE3EC"/>
      </bottom>
    </border>
    <border>
      <top style="thin">
        <color rgb="FF7DD3FC"/>
      </top>
      <bottom style="thin">
        <color rgb="FF7DD3FC"/>
      </bottom>
    </border>
    <border>
      <right style="thin">
        <color rgb="FF7DD3FC"/>
      </right>
      <top style="thin">
        <color rgb="FF7DD3FC"/>
      </top>
      <bottom style="thin">
        <color rgb="FF7DD3FC"/>
      </bottom>
    </border>
    <border>
      <top style="thin">
        <color rgb="FFDDE3EC"/>
      </top>
      <bottom style="thin">
        <color rgb="FFDDE3EC"/>
      </bottom>
    </border>
    <border>
      <left style="thin">
        <color rgb="FF6EE7B7"/>
      </left>
      <top style="thin">
        <color rgb="FF6EE7B7"/>
      </top>
    </border>
    <border>
      <top style="thin">
        <color rgb="FF6EE7B7"/>
      </top>
    </border>
    <border>
      <right style="thin">
        <color rgb="FF6EE7B7"/>
      </right>
      <top style="thin">
        <color rgb="FF6EE7B7"/>
      </top>
    </border>
    <border>
      <left style="thin">
        <color rgb="FF6EE7B7"/>
      </left>
    </border>
    <border>
      <right style="thin">
        <color rgb="FF6EE7B7"/>
      </right>
    </border>
    <border>
      <left style="thin">
        <color rgb="FF6EE7B7"/>
      </left>
      <bottom style="thin">
        <color rgb="FF6EE7B7"/>
      </bottom>
    </border>
    <border>
      <bottom style="thin">
        <color rgb="FF6EE7B7"/>
      </bottom>
    </border>
    <border>
      <right style="thin">
        <color rgb="FF6EE7B7"/>
      </right>
      <bottom style="thin">
        <color rgb="FF6EE7B7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vertical="center"/>
    </xf>
    <xf borderId="1" fillId="5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0" fillId="3" fontId="6" numFmtId="0" xfId="0" applyAlignment="1" applyFill="1" applyFont="1">
      <alignment horizontal="center" vertical="center"/>
    </xf>
    <xf borderId="0" fillId="6" fontId="6" numFmtId="0" xfId="0" applyAlignment="1" applyFill="1" applyFont="1">
      <alignment horizontal="center" vertical="center"/>
    </xf>
    <xf borderId="2" fillId="7" fontId="7" numFmtId="0" xfId="0" applyAlignment="1" applyBorder="1" applyFill="1" applyFont="1">
      <alignment shrinkToFit="0" vertical="top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3" fontId="9" numFmtId="0" xfId="0" applyAlignment="1" applyFill="1" applyFont="1">
      <alignment vertical="center"/>
    </xf>
    <xf borderId="10" fillId="8" fontId="10" numFmtId="0" xfId="0" applyAlignment="1" applyBorder="1" applyFill="1" applyFont="1">
      <alignment horizontal="center" vertical="center"/>
    </xf>
    <xf borderId="11" fillId="0" fontId="8" numFmtId="0" xfId="0" applyBorder="1" applyFont="1"/>
    <xf borderId="1" fillId="6" fontId="6" numFmtId="0" xfId="0" applyAlignment="1" applyBorder="1" applyFill="1" applyFont="1">
      <alignment vertical="center"/>
    </xf>
    <xf borderId="1" fillId="0" fontId="3" numFmtId="0" xfId="0" applyAlignment="1" applyBorder="1" applyFont="1">
      <alignment vertical="center"/>
    </xf>
    <xf borderId="1" fillId="9" fontId="3" numFmtId="0" xfId="0" applyAlignment="1" applyBorder="1" applyFill="1" applyFont="1">
      <alignment vertical="center"/>
    </xf>
    <xf borderId="0" fillId="7" fontId="11" numFmtId="0" xfId="0" applyAlignment="1" applyFill="1" applyFont="1">
      <alignment vertical="center"/>
    </xf>
    <xf borderId="1" fillId="10" fontId="3" numFmtId="0" xfId="0" applyAlignment="1" applyBorder="1" applyFill="1" applyFont="1">
      <alignment vertical="center"/>
    </xf>
    <xf borderId="1" fillId="11" fontId="3" numFmtId="0" xfId="0" applyAlignment="1" applyBorder="1" applyFill="1" applyFont="1">
      <alignment vertical="center"/>
    </xf>
    <xf borderId="1" fillId="7" fontId="3" numFmtId="0" xfId="0" applyAlignment="1" applyBorder="1" applyFill="1" applyFont="1">
      <alignment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3" numFmtId="0" xfId="0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11" fontId="14" numFmtId="0" xfId="0" applyAlignment="1" applyBorder="1" applyFill="1" applyFont="1">
      <alignment readingOrder="0" shrinkToFit="0" vertical="center" wrapText="0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11" fontId="14" numFmtId="0" xfId="0" applyAlignment="1" applyBorder="1" applyFill="1" applyFont="1">
      <alignment readingOrder="0" shrinkToFit="0" vertical="center" wrapText="0"/>
    </xf>
    <xf borderId="0" fillId="2" fontId="15" numFmtId="0" xfId="0" applyAlignment="1" applyFill="1" applyFont="1">
      <alignment vertical="center"/>
    </xf>
    <xf borderId="19" fillId="11" fontId="14" numFmtId="0" xfId="0" applyAlignment="1" applyBorder="1" applyFill="1" applyFont="1">
      <alignment readingOrder="0" shrinkToFit="0" vertical="center" wrapText="0"/>
    </xf>
    <xf borderId="19" fillId="11" fontId="14" numFmtId="0" xfId="0" applyAlignment="1" applyBorder="1" applyFill="1" applyFont="1">
      <alignment readingOrder="0" shrinkToFit="0" vertical="center" wrapText="0"/>
    </xf>
    <xf borderId="10" fillId="6" fontId="6" numFmtId="0" xfId="0" applyAlignment="1" applyBorder="1" applyFill="1" applyFont="1">
      <alignment horizontal="center" vertical="center"/>
    </xf>
    <xf borderId="12" fillId="6" fontId="6" numFmtId="0" xfId="0" applyAlignment="1" applyBorder="1" applyFill="1" applyFont="1">
      <alignment horizontal="center" vertical="center"/>
    </xf>
    <xf borderId="19" fillId="11" fontId="14" numFmtId="0" xfId="0" applyAlignment="1" applyBorder="1" applyFill="1" applyFont="1">
      <alignment readingOrder="0" shrinkToFit="0" vertical="center" wrapText="0"/>
    </xf>
    <xf borderId="19" fillId="11" fontId="14" numFmtId="164" xfId="0" applyAlignment="1" applyBorder="1" applyFill="1" applyFont="1" applyNumberFormat="1">
      <alignment shrinkToFit="0" vertical="center" wrapText="0"/>
    </xf>
    <xf borderId="19" fillId="10" fontId="14" numFmtId="0" xfId="0" applyAlignment="1" applyBorder="1" applyFill="1" applyFont="1">
      <alignment shrinkToFit="0" vertical="center" wrapText="0"/>
    </xf>
    <xf borderId="1" fillId="10" fontId="16" numFmtId="0" xfId="0" applyAlignment="1" applyBorder="1" applyFill="1" applyFont="1">
      <alignment horizontal="center" vertical="center"/>
    </xf>
    <xf borderId="10" fillId="3" fontId="17" numFmtId="0" xfId="0" applyAlignment="1" applyBorder="1" applyFill="1" applyFont="1">
      <alignment shrinkToFit="0" vertical="center" wrapText="1"/>
    </xf>
    <xf borderId="19" fillId="11" fontId="18" numFmtId="49" xfId="0" applyAlignment="1" applyBorder="1" applyFill="1" applyFont="1" applyNumberFormat="1">
      <alignment readingOrder="0" shrinkToFit="0" vertical="center" wrapText="0"/>
    </xf>
    <xf borderId="13" fillId="10" fontId="19" numFmtId="0" xfId="0" applyAlignment="1" applyBorder="1" applyFill="1" applyFont="1">
      <alignment horizontal="center" shrinkToFit="0" vertical="center" wrapText="1"/>
    </xf>
    <xf borderId="19" fillId="11" fontId="14" numFmtId="164" xfId="0" applyAlignment="1" applyBorder="1" applyFill="1" applyFont="1" applyNumberFormat="1">
      <alignment readingOrder="0" shrinkToFit="0" vertical="center" wrapText="0"/>
    </xf>
    <xf borderId="20" fillId="11" fontId="14" numFmtId="0" xfId="0" applyAlignment="1" applyBorder="1" applyFill="1" applyFont="1">
      <alignment readingOrder="0" shrinkToFit="0" vertical="center" wrapText="0"/>
    </xf>
    <xf borderId="0" fillId="10" fontId="20" numFmtId="165" xfId="0" applyAlignment="1" applyFill="1" applyFont="1" applyNumberFormat="1">
      <alignment horizontal="center" vertical="center"/>
    </xf>
    <xf borderId="0" fillId="10" fontId="13" numFmtId="0" xfId="0" applyAlignment="1" applyFill="1" applyFont="1">
      <alignment shrinkToFit="0" vertical="center" wrapText="0"/>
    </xf>
    <xf borderId="0" fillId="10" fontId="21" numFmtId="0" xfId="0" applyAlignment="1" applyFill="1" applyFont="1">
      <alignment horizontal="center" vertical="center"/>
    </xf>
    <xf borderId="19" fillId="10" fontId="14" numFmtId="164" xfId="0" applyAlignment="1" applyBorder="1" applyFill="1" applyFont="1" applyNumberFormat="1">
      <alignment shrinkToFit="0" vertical="center" wrapText="0"/>
    </xf>
    <xf borderId="16" fillId="7" fontId="11" numFmtId="0" xfId="0" applyAlignment="1" applyBorder="1" applyFill="1" applyFont="1">
      <alignment horizontal="center" vertical="center"/>
    </xf>
    <xf borderId="21" fillId="8" fontId="3" numFmtId="49" xfId="0" applyAlignment="1" applyBorder="1" applyFill="1" applyFont="1" applyNumberFormat="1">
      <alignment readingOrder="0" shrinkToFit="0" vertical="center" wrapText="0"/>
    </xf>
    <xf borderId="21" fillId="8" fontId="3" numFmtId="0" xfId="0" applyAlignment="1" applyBorder="1" applyFill="1" applyFont="1">
      <alignment readingOrder="0" shrinkToFit="0" vertical="center" wrapText="0"/>
    </xf>
    <xf borderId="19" fillId="11" fontId="22" numFmtId="0" xfId="0" applyAlignment="1" applyBorder="1" applyFill="1" applyFont="1">
      <alignment readingOrder="0" shrinkToFit="0" vertical="center" wrapText="0"/>
    </xf>
    <xf borderId="21" fillId="8" fontId="3" numFmtId="0" xfId="0" applyAlignment="1" applyBorder="1" applyFill="1" applyFont="1">
      <alignment readingOrder="0" shrinkToFit="0" vertical="center" wrapText="0"/>
    </xf>
    <xf borderId="19" fillId="11" fontId="14" numFmtId="49" xfId="0" applyAlignment="1" applyBorder="1" applyFill="1" applyFont="1" applyNumberFormat="1">
      <alignment shrinkToFit="0" vertical="center" wrapText="0"/>
    </xf>
    <xf borderId="0" fillId="4" fontId="15" numFmtId="0" xfId="0" applyAlignment="1" applyFill="1" applyFont="1">
      <alignment vertical="center"/>
    </xf>
    <xf borderId="21" fillId="8" fontId="3" numFmtId="0" xfId="0" applyAlignment="1" applyBorder="1" applyFill="1" applyFont="1">
      <alignment readingOrder="0" shrinkToFit="0" vertical="center" wrapText="0"/>
    </xf>
    <xf borderId="21" fillId="8" fontId="3" numFmtId="164" xfId="0" applyAlignment="1" applyBorder="1" applyFill="1" applyFont="1" applyNumberFormat="1">
      <alignment shrinkToFit="0" vertical="center" wrapText="0"/>
    </xf>
    <xf borderId="21" fillId="10" fontId="3" numFmtId="0" xfId="0" applyAlignment="1" applyBorder="1" applyFill="1" applyFont="1">
      <alignment shrinkToFit="0" vertical="center" wrapText="0"/>
    </xf>
    <xf borderId="22" fillId="12" fontId="23" numFmtId="0" xfId="0" applyAlignment="1" applyBorder="1" applyFill="1" applyFont="1">
      <alignment shrinkToFit="0" vertical="center" wrapText="1"/>
    </xf>
    <xf borderId="23" fillId="0" fontId="8" numFmtId="0" xfId="0" applyBorder="1" applyFont="1"/>
    <xf borderId="24" fillId="0" fontId="8" numFmtId="0" xfId="0" applyBorder="1" applyFont="1"/>
    <xf borderId="21" fillId="8" fontId="24" numFmtId="49" xfId="0" applyAlignment="1" applyBorder="1" applyFill="1" applyFont="1" applyNumberFormat="1">
      <alignment readingOrder="0" shrinkToFit="0" vertical="center" wrapText="0"/>
    </xf>
    <xf borderId="21" fillId="8" fontId="3" numFmtId="164" xfId="0" applyAlignment="1" applyBorder="1" applyFill="1" applyFont="1" applyNumberFormat="1">
      <alignment readingOrder="0" shrinkToFit="0" vertical="center" wrapText="0"/>
    </xf>
    <xf borderId="25" fillId="0" fontId="8" numFmtId="0" xfId="0" applyBorder="1" applyFont="1"/>
    <xf borderId="26" fillId="0" fontId="8" numFmtId="0" xfId="0" applyBorder="1" applyFont="1"/>
    <xf borderId="21" fillId="10" fontId="3" numFmtId="164" xfId="0" applyAlignment="1" applyBorder="1" applyFill="1" applyFont="1" applyNumberFormat="1">
      <alignment shrinkToFit="0" vertical="center" wrapText="0"/>
    </xf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21" fillId="8" fontId="3" numFmtId="49" xfId="0" applyAlignment="1" applyBorder="1" applyFill="1" applyFont="1" applyNumberFormat="1">
      <alignment shrinkToFit="0" vertical="center" wrapText="0"/>
    </xf>
    <xf borderId="0" fillId="7" fontId="25" numFmtId="0" xfId="0" applyAlignment="1" applyFill="1" applyFont="1">
      <alignment horizontal="center" vertical="center"/>
    </xf>
    <xf borderId="15" fillId="11" fontId="14" numFmtId="0" xfId="0" applyAlignment="1" applyBorder="1" applyFill="1" applyFont="1">
      <alignment shrinkToFit="0" vertical="center" wrapText="0"/>
    </xf>
    <xf borderId="0" fillId="4" fontId="4" numFmtId="0" xfId="0" applyAlignment="1" applyFill="1" applyFont="1">
      <alignment readingOrder="0" vertical="center"/>
    </xf>
    <xf borderId="19" fillId="11" fontId="14" numFmtId="0" xfId="0" applyAlignment="1" applyBorder="1" applyFill="1" applyFont="1">
      <alignment shrinkToFit="0" vertical="center" wrapText="0"/>
    </xf>
    <xf borderId="10" fillId="3" fontId="6" numFmtId="0" xfId="0" applyAlignment="1" applyBorder="1" applyFill="1" applyFont="1">
      <alignment horizontal="center" readingOrder="0" vertical="center"/>
    </xf>
    <xf borderId="19" fillId="10" fontId="14" numFmtId="49" xfId="0" applyAlignment="1" applyBorder="1" applyFill="1" applyFont="1" applyNumberFormat="1">
      <alignment shrinkToFit="0" vertical="center" wrapText="0"/>
    </xf>
    <xf borderId="13" fillId="8" fontId="26" numFmtId="166" xfId="0" applyAlignment="1" applyBorder="1" applyFill="1" applyFont="1" applyNumberFormat="1">
      <alignment horizontal="center" vertical="center"/>
    </xf>
    <xf borderId="19" fillId="11" fontId="14" numFmtId="0" xfId="0" applyAlignment="1" applyBorder="1" applyFill="1" applyFont="1">
      <alignment shrinkToFit="0" vertical="center" wrapText="0"/>
    </xf>
    <xf borderId="13" fillId="8" fontId="26" numFmtId="167" xfId="0" applyAlignment="1" applyBorder="1" applyFill="1" applyFont="1" applyNumberFormat="1">
      <alignment horizontal="center" vertical="center"/>
    </xf>
    <xf borderId="13" fillId="8" fontId="26" numFmtId="168" xfId="0" applyAlignment="1" applyBorder="1" applyFill="1" applyFont="1" applyNumberFormat="1">
      <alignment horizontal="center" vertical="center"/>
    </xf>
    <xf borderId="13" fillId="13" fontId="26" numFmtId="166" xfId="0" applyAlignment="1" applyBorder="1" applyFill="1" applyFont="1" applyNumberFormat="1">
      <alignment horizontal="center" vertical="center"/>
    </xf>
    <xf borderId="19" fillId="11" fontId="14" numFmtId="0" xfId="0" applyAlignment="1" applyBorder="1" applyFill="1" applyFont="1">
      <alignment shrinkToFit="0" vertical="center" wrapText="0"/>
    </xf>
    <xf borderId="13" fillId="13" fontId="26" numFmtId="167" xfId="0" applyAlignment="1" applyBorder="1" applyFill="1" applyFont="1" applyNumberFormat="1">
      <alignment horizontal="center" vertical="center"/>
    </xf>
    <xf borderId="13" fillId="13" fontId="26" numFmtId="168" xfId="0" applyAlignment="1" applyBorder="1" applyFill="1" applyFont="1" applyNumberFormat="1">
      <alignment horizontal="center" vertical="center"/>
    </xf>
    <xf borderId="20" fillId="11" fontId="14" numFmtId="0" xfId="0" applyAlignment="1" applyBorder="1" applyFill="1" applyFont="1">
      <alignment shrinkToFit="0" vertical="center" wrapText="0"/>
    </xf>
    <xf borderId="10" fillId="3" fontId="6" numFmtId="0" xfId="0" applyAlignment="1" applyBorder="1" applyFill="1" applyFont="1">
      <alignment horizontal="center" readingOrder="0" vertical="center"/>
    </xf>
    <xf borderId="13" fillId="10" fontId="26" numFmtId="166" xfId="0" applyAlignment="1" applyBorder="1" applyFill="1" applyFont="1" applyNumberFormat="1">
      <alignment horizontal="center" vertical="center"/>
    </xf>
    <xf borderId="13" fillId="10" fontId="26" numFmtId="167" xfId="0" applyAlignment="1" applyBorder="1" applyFill="1" applyFont="1" applyNumberFormat="1">
      <alignment horizontal="center" vertical="center"/>
    </xf>
    <xf borderId="21" fillId="10" fontId="3" numFmtId="49" xfId="0" applyAlignment="1" applyBorder="1" applyFill="1" applyFont="1" applyNumberFormat="1">
      <alignment shrinkToFit="0" vertical="center" wrapText="0"/>
    </xf>
    <xf borderId="13" fillId="10" fontId="26" numFmtId="168" xfId="0" applyAlignment="1" applyBorder="1" applyFill="1" applyFont="1" applyNumberFormat="1">
      <alignment horizontal="center" vertical="center"/>
    </xf>
    <xf borderId="21" fillId="8" fontId="3" numFmtId="0" xfId="0" applyAlignment="1" applyBorder="1" applyFill="1" applyFont="1">
      <alignment shrinkToFit="0" vertical="center" wrapText="0"/>
    </xf>
    <xf borderId="13" fillId="9" fontId="26" numFmtId="166" xfId="0" applyAlignment="1" applyBorder="1" applyFill="1" applyFont="1" applyNumberFormat="1">
      <alignment horizontal="center" vertical="center"/>
    </xf>
    <xf borderId="13" fillId="9" fontId="26" numFmtId="167" xfId="0" applyAlignment="1" applyBorder="1" applyFill="1" applyFont="1" applyNumberFormat="1">
      <alignment horizontal="center" vertical="center"/>
    </xf>
    <xf borderId="13" fillId="9" fontId="26" numFmtId="168" xfId="0" applyAlignment="1" applyBorder="1" applyFill="1" applyFont="1" applyNumberFormat="1">
      <alignment horizontal="center" vertical="center"/>
    </xf>
    <xf borderId="0" fillId="9" fontId="11" numFmtId="0" xfId="0" applyAlignment="1" applyFill="1" applyFont="1">
      <alignment horizontal="center" readingOrder="0" shrinkToFit="0" vertical="center" wrapText="1"/>
    </xf>
    <xf borderId="21" fillId="8" fontId="3" numFmtId="0" xfId="0" applyAlignment="1" applyBorder="1" applyFill="1" applyFont="1">
      <alignment shrinkToFit="0" vertical="center" wrapText="0"/>
    </xf>
    <xf borderId="19" fillId="11" fontId="14" numFmtId="169" xfId="0" applyAlignment="1" applyBorder="1" applyFill="1" applyFont="1" applyNumberFormat="1">
      <alignment shrinkToFit="0" vertical="center" wrapText="0"/>
    </xf>
    <xf borderId="19" fillId="11" fontId="14" numFmtId="170" xfId="0" applyAlignment="1" applyBorder="1" applyFill="1" applyFont="1" applyNumberFormat="1">
      <alignment shrinkToFit="0" vertical="center" wrapText="0"/>
    </xf>
    <xf borderId="21" fillId="8" fontId="3" numFmtId="169" xfId="0" applyAlignment="1" applyBorder="1" applyFill="1" applyFont="1" applyNumberFormat="1">
      <alignment shrinkToFit="0" vertical="center" wrapText="0"/>
    </xf>
    <xf borderId="21" fillId="8" fontId="3" numFmtId="170" xfId="0" applyAlignment="1" applyBorder="1" applyFill="1" applyFont="1" applyNumberFormat="1">
      <alignment shrinkToFit="0" vertical="center" wrapText="0"/>
    </xf>
    <xf borderId="19" fillId="11" fontId="14" numFmtId="0" xfId="0" applyAlignment="1" applyBorder="1" applyFill="1" applyFont="1">
      <alignment horizontal="center" shrinkToFit="0" vertical="center" wrapText="0"/>
    </xf>
    <xf borderId="21" fillId="8" fontId="3" numFmtId="0" xfId="0" applyAlignment="1" applyBorder="1" applyFill="1" applyFont="1">
      <alignment horizontal="center" readingOrder="0" shrinkToFit="0" vertical="center" wrapText="0"/>
    </xf>
    <xf borderId="0" fillId="5" fontId="15" numFmtId="0" xfId="0" applyAlignment="1" applyFill="1" applyFont="1">
      <alignment vertical="center"/>
    </xf>
    <xf borderId="1" fillId="3" fontId="6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0" fillId="4" fontId="15" numFmtId="0" xfId="0" applyAlignment="1" applyFill="1" applyFont="1">
      <alignment readingOrder="0" vertic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3" numFmtId="171" xfId="0" applyAlignment="1" applyBorder="1" applyFill="1" applyFont="1" applyNumberFormat="1">
      <alignment readingOrder="0" vertical="center"/>
    </xf>
    <xf borderId="1" fillId="9" fontId="3" numFmtId="171" xfId="0" applyAlignment="1" applyBorder="1" applyFill="1" applyFont="1" applyNumberFormat="1">
      <alignment vertical="center"/>
    </xf>
    <xf borderId="1" fillId="10" fontId="3" numFmtId="171" xfId="0" applyAlignment="1" applyBorder="1" applyFill="1" applyFont="1" applyNumberFormat="1">
      <alignment vertical="center"/>
    </xf>
    <xf borderId="1" fillId="0" fontId="3" numFmtId="165" xfId="0" applyAlignment="1" applyBorder="1" applyFont="1" applyNumberFormat="1">
      <alignment vertical="center"/>
    </xf>
    <xf borderId="1" fillId="3" fontId="3" numFmtId="171" xfId="0" applyAlignment="1" applyBorder="1" applyFill="1" applyFont="1" applyNumberFormat="1">
      <alignment vertical="center"/>
    </xf>
    <xf borderId="0" fillId="9" fontId="1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0F766E"/>
      </font>
      <fill>
        <patternFill patternType="solid">
          <fgColor rgb="FFCCFBF1"/>
          <bgColor rgb="FFCCFBF1"/>
        </patternFill>
      </fill>
      <border/>
    </dxf>
    <dxf>
      <font>
        <b/>
        <color rgb="FF047857"/>
      </font>
      <fill>
        <patternFill patternType="solid">
          <fgColor rgb="FFD1FAE5"/>
          <bgColor rgb="FFD1FAE5"/>
        </patternFill>
      </fill>
      <border/>
    </dxf>
    <dxf>
      <font>
        <b/>
        <color rgb="FF312E81"/>
      </font>
      <fill>
        <patternFill patternType="solid">
          <fgColor rgb="FFEEF2FF"/>
          <bgColor rgb="FFEEF2FF"/>
        </patternFill>
      </fill>
      <border/>
    </dxf>
    <dxf>
      <font>
        <b/>
        <color rgb="FF64748B"/>
      </font>
      <fill>
        <patternFill patternType="solid">
          <fgColor rgb="FFF1F5F9"/>
          <bgColor rgb="FFF1F5F9"/>
        </patternFill>
      </fill>
      <border/>
    </dxf>
    <dxf>
      <font>
        <b/>
        <color rgb="FFB45309"/>
      </font>
      <fill>
        <patternFill patternType="solid">
          <fgColor rgb="FFFEF3C7"/>
          <bgColor rgb="FFFEF3C7"/>
        </patternFill>
      </fill>
      <border/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</dxfs>
  <tableStyles count="12">
    <tableStyle count="4" pivot="0" name="Scholarsh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adl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u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s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mmen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min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S205" displayName="ProgramsTable" name="ProgramsTable" id="1">
  <tableColumns count="19">
    <tableColumn name="Program ID" id="1"/>
    <tableColumn name="Institution" id="2"/>
    <tableColumn name="Program" id="3"/>
    <tableColumn name="Degree" id="4"/>
    <tableColumn name="Country" id="5"/>
    <tableColumn name="Intake" id="6"/>
    <tableColumn name="Status" id="7"/>
    <tableColumn name="Priority" id="8"/>
    <tableColumn name="Academic Fit" id="9"/>
    <tableColumn name="Research/Career Fit" id="10"/>
    <tableColumn name="Funding Strength" id="11"/>
    <tableColumn name="Admission Feasibility" id="12"/>
    <tableColumn name="Location Fit" id="13"/>
    <tableColumn name="Weighted Score" id="14"/>
    <tableColumn name="Next Deadline" id="15"/>
    <tableColumn name="Official URL" id="16"/>
    <tableColumn name="Application Portal" id="17"/>
    <tableColumn name="Last Verified" id="18"/>
    <tableColumn name="Notes" id="19"/>
  </tableColumns>
  <tableStyleInfo name="Programs-style" showColumnStripes="0" showFirstColumn="1" showLastColumn="1" showRowStripes="1"/>
</table>
</file>

<file path=xl/tables/table2.xml><?xml version="1.0" encoding="utf-8"?>
<table xmlns="http://schemas.openxmlformats.org/spreadsheetml/2006/main" ref="A5:U205" displayName="ScholarshipsTable" name="ScholarshipsTable" id="2">
  <tableColumns count="21">
    <tableColumn name="Scholarship ID" id="1"/>
    <tableColumn name="Scholarship" id="2"/>
    <tableColumn name="Provider" id="3"/>
    <tableColumn name="Country/Coverage" id="4"/>
    <tableColumn name="Program ID" id="5"/>
    <tableColumn name="Funding Type" id="6"/>
    <tableColumn name="Amount" id="7"/>
    <tableColumn name="Currency" id="8"/>
    <tableColumn name="Coverage Notes" id="9"/>
    <tableColumn name="Mechanism" id="10"/>
    <tableColumn name="Eligibility" id="11"/>
    <tableColumn name="Status" id="12"/>
    <tableColumn name="Priority" id="13"/>
    <tableColumn name="Deadline" id="14"/>
    <tableColumn name="Days Left" id="15"/>
    <tableColumn name="Official URL" id="16"/>
    <tableColumn name="Last Verified" id="17"/>
    <tableColumn name="Notes" id="18"/>
    <tableColumn name="Amount (GHS)" id="19"/>
    <tableColumn name="Amount (EUR)" id="20"/>
    <tableColumn name="Amount (USD)" id="21"/>
  </tableColumns>
  <tableStyleInfo name="Scholarships-style" showColumnStripes="0" showFirstColumn="1" showLastColumn="1" showRowStripes="1"/>
</table>
</file>

<file path=xl/tables/table3.xml><?xml version="1.0" encoding="utf-8"?>
<table xmlns="http://schemas.openxmlformats.org/spreadsheetml/2006/main" ref="A5:S205" displayName="ApplicationsTable" name="ApplicationsTable" id="3">
  <tableColumns count="19">
    <tableColumn name="Application ID" id="1"/>
    <tableColumn name="Program ID" id="2"/>
    <tableColumn name="Program" id="3"/>
    <tableColumn name="Institution" id="4"/>
    <tableColumn name="Status" id="5"/>
    <tableColumn name="Priority" id="6"/>
    <tableColumn name="Round" id="7"/>
    <tableColumn name="Program Deadline" id="8"/>
    <tableColumn name="Days Left" id="9"/>
    <tableColumn name="Open Blockers" id="10"/>
    <tableColumn name="Application Fee" id="11"/>
    <tableColumn name="Currency" id="12"/>
    <tableColumn name="Fee Status" id="13"/>
    <tableColumn name="Submitted" id="14"/>
    <tableColumn name="Decision" id="15"/>
    <tableColumn name="Response Deadline" id="16"/>
    <tableColumn name="Applicant Reference" id="17"/>
    <tableColumn name="Portal URL" id="18"/>
    <tableColumn name="Notes" id="19"/>
  </tableColumns>
  <tableStyleInfo name="Applications-style" showColumnStripes="0" showFirstColumn="1" showLastColumn="1" showRowStripes="1"/>
</table>
</file>

<file path=xl/tables/table4.xml><?xml version="1.0" encoding="utf-8"?>
<table xmlns="http://schemas.openxmlformats.org/spreadsheetml/2006/main" ref="A5:M205" displayName="DeadlinesTable" name="DeadlinesTable" id="4">
  <tableColumns count="13">
    <tableColumn name="Deadline ID" id="1"/>
    <tableColumn name="Type" id="2"/>
    <tableColumn name="Title" id="3"/>
    <tableColumn name="Related ID" id="4"/>
    <tableColumn name="Related Type" id="5"/>
    <tableColumn name="Priority" id="6"/>
    <tableColumn name="Due Date" id="7"/>
    <tableColumn name="Status" id="8"/>
    <tableColumn name="Days Left" id="9"/>
    <tableColumn name="Source URL" id="10"/>
    <tableColumn name="Last Verified" id="11"/>
    <tableColumn name="Reminder Plan" id="12"/>
    <tableColumn name="Notes" id="13"/>
  </tableColumns>
  <tableStyleInfo name="Deadlines-style" showColumnStripes="0" showFirstColumn="1" showLastColumn="1" showRowStripes="1"/>
</table>
</file>

<file path=xl/tables/table5.xml><?xml version="1.0" encoding="utf-8"?>
<table xmlns="http://schemas.openxmlformats.org/spreadsheetml/2006/main" ref="A5:J205" displayName="TasksTable" name="TasksTable" id="5">
  <tableColumns count="10">
    <tableColumn name="Task ID" id="1"/>
    <tableColumn name="Task" id="2"/>
    <tableColumn name="Related Type" id="3"/>
    <tableColumn name="Related ID" id="4"/>
    <tableColumn name="Priority" id="5"/>
    <tableColumn name="Due Date" id="6"/>
    <tableColumn name="Status" id="7"/>
    <tableColumn name="Blocking?" id="8"/>
    <tableColumn name="Days Left" id="9"/>
    <tableColumn name="Notes" id="10"/>
  </tableColumns>
  <tableStyleInfo name="Tasks-style" showColumnStripes="0" showFirstColumn="1" showLastColumn="1" showRowStripes="1"/>
</table>
</file>

<file path=xl/tables/table6.xml><?xml version="1.0" encoding="utf-8"?>
<table xmlns="http://schemas.openxmlformats.org/spreadsheetml/2006/main" ref="A5:L205" displayName="DocumentsTable" name="DocumentsTable" id="6">
  <tableColumns count="12">
    <tableColumn name="Document ID" id="1"/>
    <tableColumn name="Document" id="2"/>
    <tableColumn name="Category" id="3"/>
    <tableColumn name="Version" id="4"/>
    <tableColumn name="Drive File Link" id="5"/>
    <tableColumn name="Expiry Date" id="6"/>
    <tableColumn name="Status" id="7"/>
    <tableColumn name="Current?" id="8"/>
    <tableColumn name="Last Updated" id="9"/>
    <tableColumn name="Related Type" id="10"/>
    <tableColumn name="Related ID" id="11"/>
    <tableColumn name="Notes" id="12"/>
  </tableColumns>
  <tableStyleInfo name="Documents-style" showColumnStripes="0" showFirstColumn="1" showLastColumn="1" showRowStripes="1"/>
</table>
</file>

<file path=xl/tables/table7.xml><?xml version="1.0" encoding="utf-8"?>
<table xmlns="http://schemas.openxmlformats.org/spreadsheetml/2006/main" ref="A5:L205" displayName="EssaysTable" name="EssaysTable" id="7">
  <tableColumns count="12">
    <tableColumn name="Essay ID" id="1"/>
    <tableColumn name="Essay / Prompt" id="2"/>
    <tableColumn name="Application ID" id="3"/>
    <tableColumn name="Type" id="4"/>
    <tableColumn name="Word Limit" id="5"/>
    <tableColumn name="Word Count" id="6"/>
    <tableColumn name="Status" id="7"/>
    <tableColumn name="Due Date" id="8"/>
    <tableColumn name="Current Version" id="9"/>
    <tableColumn name="Draft Link" id="10"/>
    <tableColumn name="Reviewer" id="11"/>
    <tableColumn name="Notes" id="12"/>
  </tableColumns>
  <tableStyleInfo name="Essays-style" showColumnStripes="0" showFirstColumn="1" showLastColumn="1" showRowStripes="1"/>
</table>
</file>

<file path=xl/tables/table8.xml><?xml version="1.0" encoding="utf-8"?>
<table xmlns="http://schemas.openxmlformats.org/spreadsheetml/2006/main" ref="A5:M205" displayName="RecommendersTable" name="RecommendersTable" id="8">
  <tableColumns count="13">
    <tableColumn name="Recommender ID" id="1"/>
    <tableColumn name="Name" id="2"/>
    <tableColumn name="Title / Institution" id="3"/>
    <tableColumn name="Email" id="4"/>
    <tableColumn name="Relationship" id="5"/>
    <tableColumn name="Request ID" id="6"/>
    <tableColumn name="Application ID" id="7"/>
    <tableColumn name="Status" id="8"/>
    <tableColumn name="Requested" id="9"/>
    <tableColumn name="Due Date" id="10"/>
    <tableColumn name="Submitted" id="11"/>
    <tableColumn name="Follow-up" id="12"/>
    <tableColumn name="Notes" id="13"/>
  </tableColumns>
  <tableStyleInfo name="Recommenders-style" showColumnStripes="0" showFirstColumn="1" showLastColumn="1" showRowStripes="1"/>
</table>
</file>

<file path=xl/tables/table9.xml><?xml version="1.0" encoding="utf-8"?>
<table xmlns="http://schemas.openxmlformats.org/spreadsheetml/2006/main" ref="A5:J205" displayName="ContactsTable" name="ContactsTable" id="9">
  <tableColumns count="10">
    <tableColumn name="Contact ID" id="1"/>
    <tableColumn name="Name" id="2"/>
    <tableColumn name="Type" id="3"/>
    <tableColumn name="Institution" id="4"/>
    <tableColumn name="Program" id="5"/>
    <tableColumn name="Email" id="6"/>
    <tableColumn name="Profile URL" id="7"/>
    <tableColumn name="Last Contacted" id="8"/>
    <tableColumn name="Next Follow-up" id="9"/>
    <tableColumn name="Notes" id="10"/>
  </tableColumns>
  <tableStyleInfo name="Contacts-style" showColumnStripes="0" showFirstColumn="1" showLastColumn="1" showRowStripes="1"/>
</table>
</file>

<file path=xl/tables/table10.xml><?xml version="1.0" encoding="utf-8"?>
<table xmlns="http://schemas.openxmlformats.org/spreadsheetml/2006/main" ref="A5:N205" displayName="CostsTable" name="CostsTable" id="10">
  <tableColumns count="14">
    <tableColumn name="Cost ID" id="1"/>
    <tableColumn name="Related Type" id="2"/>
    <tableColumn name="Related ID" id="3"/>
    <tableColumn name="Category" id="4"/>
    <tableColumn name="Description" id="5"/>
    <tableColumn name="Amount" id="6"/>
    <tableColumn name="Currency" id="7"/>
    <tableColumn name="Status" id="8"/>
    <tableColumn name="Due Date" id="9"/>
    <tableColumn name="Paid Date" id="10"/>
    <tableColumn name="Notes" id="11"/>
    <tableColumn name="Amount (GHS)" id="12"/>
    <tableColumn name="Amount (EUR)" id="13"/>
    <tableColumn name="Amount (USD)" id="14"/>
  </tableColumns>
  <tableStyleInfo name="Costs-style" showColumnStripes="0" showFirstColumn="1" showLastColumn="1" showRowStripes="1"/>
</table>
</file>

<file path=xl/tables/table11.xml><?xml version="1.0" encoding="utf-8"?>
<table xmlns="http://schemas.openxmlformats.org/spreadsheetml/2006/main" ref="A5:S205" displayName="DecisionsTable" name="DecisionsTable" id="11">
  <tableColumns count="19">
    <tableColumn name="Decision ID" id="1"/>
    <tableColumn name="Application ID" id="2"/>
    <tableColumn name="Program" id="3"/>
    <tableColumn name="Admission Status" id="4"/>
    <tableColumn name="Scholarship Status" id="5"/>
    <tableColumn name="Funding Amount" id="6"/>
    <tableColumn name="Currency" id="7"/>
    <tableColumn name="Conditions" id="8"/>
    <tableColumn name="Response Deadline" id="9"/>
    <tableColumn name="Deposit" id="10"/>
    <tableColumn name="Deposit Currency" id="11"/>
    <tableColumn name="Final Choice?" id="12"/>
    <tableColumn name="Notes" id="13"/>
    <tableColumn name="Funding (GHS)" id="14"/>
    <tableColumn name="Funding (EUR)" id="15"/>
    <tableColumn name="Funding (USD)" id="16"/>
    <tableColumn name="Deposit (GHS)" id="17"/>
    <tableColumn name="Deposit (EUR)" id="18"/>
    <tableColumn name="Deposit (USD)" id="19"/>
  </tableColumns>
  <tableStyleInfo name="Decisions-style" showColumnStripes="0" showFirstColumn="1" showLastColumn="1" showRowStripes="1"/>
</table>
</file>

<file path=xl/tables/table12.xml><?xml version="1.0" encoding="utf-8"?>
<table xmlns="http://schemas.openxmlformats.org/spreadsheetml/2006/main" ref="A5:I205" displayName="RemindersTable" name="RemindersTable" id="12">
  <tableColumns count="9">
    <tableColumn name="Reminder ID" id="1"/>
    <tableColumn name="Related Type" id="2"/>
    <tableColumn name="Related ID" id="3"/>
    <tableColumn name="Reminder" id="4"/>
    <tableColumn name="Remind At" id="5"/>
    <tableColumn name="Channel" id="6"/>
    <tableColumn name="Status" id="7"/>
    <tableColumn name="Sent At" id="8"/>
    <tableColumn name="Notes" id="9"/>
  </tableColumns>
  <tableStyleInfo name="Remin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wth-aachen.de/cms/root/studium/vor-dem-studium/studiengaenge/liste-aktuelle-studiengaenge/studiengangbeschreibung/~bnhr/software-systems-engineering-m-sc/?lidx=1" TargetMode="External"/><Relationship Id="rId10" Type="http://schemas.openxmlformats.org/officeDocument/2006/relationships/hyperlink" Target="https://www.uni-saarland.de/en/study/programmes/master/data-science.html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informatique.ens-lyon.fr/en/academic-programs/computer-science-department" TargetMode="External"/><Relationship Id="rId1" Type="http://schemas.openxmlformats.org/officeDocument/2006/relationships/hyperlink" Target="https://sciences-technologies.univ-lille.fr/informatique/formation/master-data-science" TargetMode="External"/><Relationship Id="rId2" Type="http://schemas.openxmlformats.org/officeDocument/2006/relationships/hyperlink" Target="https://www.uni-passau.de/en/msc-ai-eng" TargetMode="External"/><Relationship Id="rId3" Type="http://schemas.openxmlformats.org/officeDocument/2006/relationships/hyperlink" Target="https://univ-cotedazur.eu/msc/msc-data-science-and-artificial-intelligence" TargetMode="External"/><Relationship Id="rId4" Type="http://schemas.openxmlformats.org/officeDocument/2006/relationships/hyperlink" Target="https://www.uni-passau.de/en/msc-computer-science" TargetMode="External"/><Relationship Id="rId9" Type="http://schemas.openxmlformats.org/officeDocument/2006/relationships/hyperlink" Target="https://www.universite-paris-saclay.fr/en/education/masters-degree/computer-science/m1-artificial-intelligence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mosig.imag.fr/" TargetMode="External"/><Relationship Id="rId6" Type="http://schemas.openxmlformats.org/officeDocument/2006/relationships/hyperlink" Target="https://www.imt-atlantique.fr/en/study/masters/msc/it-embedded-ai" TargetMode="External"/><Relationship Id="rId7" Type="http://schemas.openxmlformats.org/officeDocument/2006/relationships/hyperlink" Target="https://www.tu-darmstadt.de/studieren/studieninteressierte/studienangebot_studiengaenge/studiengang_334592.en.jsp" TargetMode="External"/><Relationship Id="rId8" Type="http://schemas.openxmlformats.org/officeDocument/2006/relationships/hyperlink" Target="https://www.uni-paderborn.de/en/studyoffer/course_of_study/computer-science-master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uni-saarland.de/en/global/welcome-center/preparing/financing.html" TargetMode="External"/><Relationship Id="rId10" Type="http://schemas.openxmlformats.org/officeDocument/2006/relationships/hyperlink" Target="https://www.universite-paris-saclay.fr/en/admission/bourses-et-aides-financieres/france-excellence-eiffel-scholarship" TargetMode="External"/><Relationship Id="rId13" Type="http://schemas.openxmlformats.org/officeDocument/2006/relationships/hyperlink" Target="https://www.ens-lyon.fr/en/studies/admissions/application-masters-degrees-and-scholarships" TargetMode="External"/><Relationship Id="rId12" Type="http://schemas.openxmlformats.org/officeDocument/2006/relationships/hyperlink" Target="https://www.rwth-aachen.de/cms/root/transfer/spenden-und-sponsoring/deutschlandstipendium/~emd/bewerben/?lidx=1" TargetMode="External"/><Relationship Id="rId1" Type="http://schemas.openxmlformats.org/officeDocument/2006/relationships/hyperlink" Target="https://graduate-programmes.univ-lille.fr/en/fellowships" TargetMode="External"/><Relationship Id="rId2" Type="http://schemas.openxmlformats.org/officeDocument/2006/relationships/hyperlink" Target="https://www.uni-passau.de/en/deutschlandstipendium-scholarship/how-to-apply" TargetMode="External"/><Relationship Id="rId3" Type="http://schemas.openxmlformats.org/officeDocument/2006/relationships/hyperlink" Target="https://univ-cotedazur.eu/msc-programs/tuition-fees/are-you-an-international-student/academic-excellence-scholarships" TargetMode="External"/><Relationship Id="rId4" Type="http://schemas.openxmlformats.org/officeDocument/2006/relationships/hyperlink" Target="https://www.uni-passau.de/en/deutschlandstipendium-scholarship/how-to-apply" TargetMode="External"/><Relationship Id="rId9" Type="http://schemas.openxmlformats.org/officeDocument/2006/relationships/hyperlink" Target="https://www.universite-paris-saclay.fr/en/admission/bourses-et-aides-financieres/international-masters-scholarships-program" TargetMode="External"/><Relationship Id="rId14" Type="http://schemas.openxmlformats.org/officeDocument/2006/relationships/drawing" Target="../drawings/drawing4.xml"/><Relationship Id="rId16" Type="http://schemas.openxmlformats.org/officeDocument/2006/relationships/table" Target="../tables/table2.xml"/><Relationship Id="rId5" Type="http://schemas.openxmlformats.org/officeDocument/2006/relationships/hyperlink" Target="https://www.univ-grenoble-alpes.fr/call-for-applications-idex-master-scholarships-2026-2027-academic-year-1545508.kjsp" TargetMode="External"/><Relationship Id="rId6" Type="http://schemas.openxmlformats.org/officeDocument/2006/relationships/hyperlink" Target="https://www.imt-atlantique.fr/en/international/study-imt-atlantique/practical-information/scholarships-fundings" TargetMode="External"/><Relationship Id="rId7" Type="http://schemas.openxmlformats.org/officeDocument/2006/relationships/hyperlink" Target="https://www.tu-darmstadt.de/deutschlandstipendium/index.en.jsp" TargetMode="External"/><Relationship Id="rId8" Type="http://schemas.openxmlformats.org/officeDocument/2006/relationships/hyperlink" Target="https://www2.daad.de/deutschland/stipendium/datenbank/en/21148-scholarship-database/?detail=1000020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0"/>
    <col customWidth="1" min="2" max="2" width="38.88"/>
    <col customWidth="1" min="3" max="3" width="46.25"/>
    <col customWidth="1" min="4" max="4" width="14.0"/>
    <col customWidth="1" min="5" max="5" width="18.0"/>
    <col customWidth="1" min="6" max="6" width="46.0"/>
    <col customWidth="1" min="7" max="10" width="14.0"/>
    <col customWidth="1" min="11" max="26" width="8.63"/>
  </cols>
  <sheetData>
    <row r="1" ht="33.75" customHeight="1">
      <c r="A1" s="1" t="s">
        <v>0</v>
      </c>
    </row>
    <row r="2" ht="27.75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4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 ht="33.75" customHeight="1">
      <c r="A6" s="5" t="s">
        <v>6</v>
      </c>
      <c r="B6" s="6" t="s">
        <v>7</v>
      </c>
      <c r="C6" s="7" t="s">
        <v>8</v>
      </c>
      <c r="D6" s="3"/>
      <c r="E6" s="10" t="s">
        <v>10</v>
      </c>
      <c r="F6" s="11"/>
      <c r="G6" s="11"/>
      <c r="H6" s="11"/>
      <c r="I6" s="11"/>
      <c r="J6" s="12"/>
    </row>
    <row r="7" ht="33.75" customHeight="1">
      <c r="A7" s="5" t="s">
        <v>16</v>
      </c>
      <c r="B7" s="6" t="s">
        <v>17</v>
      </c>
      <c r="C7" s="7" t="s">
        <v>18</v>
      </c>
      <c r="D7" s="3"/>
      <c r="E7" s="13"/>
      <c r="J7" s="14"/>
    </row>
    <row r="8" ht="33.75" customHeight="1">
      <c r="A8" s="5" t="s">
        <v>19</v>
      </c>
      <c r="B8" s="6" t="s">
        <v>20</v>
      </c>
      <c r="C8" s="7" t="s">
        <v>21</v>
      </c>
      <c r="D8" s="3"/>
      <c r="E8" s="13"/>
      <c r="J8" s="14"/>
    </row>
    <row r="9" ht="33.75" customHeight="1">
      <c r="A9" s="5" t="s">
        <v>22</v>
      </c>
      <c r="B9" s="6" t="s">
        <v>23</v>
      </c>
      <c r="C9" s="7" t="s">
        <v>24</v>
      </c>
      <c r="D9" s="3"/>
      <c r="E9" s="13"/>
      <c r="J9" s="14"/>
    </row>
    <row r="10" ht="33.75" customHeight="1">
      <c r="A10" s="5" t="s">
        <v>25</v>
      </c>
      <c r="B10" s="6" t="s">
        <v>26</v>
      </c>
      <c r="C10" s="7" t="s">
        <v>27</v>
      </c>
      <c r="D10" s="3"/>
      <c r="E10" s="13"/>
      <c r="J10" s="14"/>
    </row>
    <row r="11">
      <c r="A11" s="3"/>
      <c r="B11" s="3"/>
      <c r="C11" s="3"/>
      <c r="D11" s="3"/>
      <c r="E11" s="15"/>
      <c r="F11" s="16"/>
      <c r="G11" s="16"/>
      <c r="H11" s="16"/>
      <c r="I11" s="16"/>
      <c r="J11" s="17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18" t="s">
        <v>28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21" t="s">
        <v>29</v>
      </c>
      <c r="B15" s="22" t="s">
        <v>30</v>
      </c>
      <c r="C15" s="3"/>
      <c r="D15" s="3"/>
      <c r="E15" s="23" t="s">
        <v>33</v>
      </c>
      <c r="F15" s="22" t="s">
        <v>35</v>
      </c>
      <c r="G15" s="3"/>
      <c r="H15" s="3"/>
      <c r="I15" s="3"/>
      <c r="J15" s="3"/>
    </row>
    <row r="16">
      <c r="A16" s="21" t="s">
        <v>32</v>
      </c>
      <c r="B16" s="22" t="s">
        <v>37</v>
      </c>
      <c r="C16" s="3"/>
      <c r="D16" s="3"/>
      <c r="E16" s="25" t="s">
        <v>39</v>
      </c>
      <c r="F16" s="22" t="s">
        <v>40</v>
      </c>
      <c r="G16" s="3"/>
      <c r="H16" s="3"/>
      <c r="I16" s="3"/>
      <c r="J16" s="3"/>
    </row>
    <row r="17">
      <c r="A17" s="21" t="s">
        <v>31</v>
      </c>
      <c r="B17" s="22" t="s">
        <v>41</v>
      </c>
      <c r="C17" s="3"/>
      <c r="D17" s="3"/>
      <c r="E17" s="26" t="s">
        <v>42</v>
      </c>
      <c r="F17" s="22" t="s">
        <v>43</v>
      </c>
      <c r="G17" s="3"/>
      <c r="H17" s="3"/>
      <c r="I17" s="3"/>
      <c r="J17" s="3"/>
    </row>
    <row r="18">
      <c r="A18" s="21" t="s">
        <v>44</v>
      </c>
      <c r="B18" s="22" t="s">
        <v>45</v>
      </c>
      <c r="C18" s="3"/>
      <c r="D18" s="3"/>
      <c r="E18" s="27" t="s">
        <v>46</v>
      </c>
      <c r="F18" s="22" t="s">
        <v>48</v>
      </c>
      <c r="G18" s="3"/>
      <c r="H18" s="3"/>
      <c r="I18" s="3"/>
      <c r="J18" s="3"/>
    </row>
    <row r="19">
      <c r="A19" s="21" t="s">
        <v>49</v>
      </c>
      <c r="B19" s="22" t="s">
        <v>51</v>
      </c>
      <c r="C19" s="3"/>
      <c r="D19" s="3"/>
      <c r="E19" s="3"/>
      <c r="F19" s="3"/>
      <c r="G19" s="3"/>
      <c r="H19" s="3"/>
      <c r="I19" s="3"/>
      <c r="J19" s="3"/>
    </row>
    <row r="20">
      <c r="A20" s="21" t="s">
        <v>52</v>
      </c>
      <c r="B20" s="22" t="s">
        <v>53</v>
      </c>
      <c r="C20" s="3"/>
      <c r="D20" s="3"/>
      <c r="E20" s="3"/>
      <c r="F20" s="3"/>
      <c r="G20" s="3"/>
      <c r="H20" s="3"/>
      <c r="I20" s="3"/>
      <c r="J20" s="3"/>
    </row>
    <row r="21" ht="15.75" customHeight="1">
      <c r="A21" s="21" t="s">
        <v>54</v>
      </c>
      <c r="B21" s="22" t="s">
        <v>57</v>
      </c>
      <c r="C21" s="3"/>
      <c r="D21" s="3"/>
      <c r="E21" s="3"/>
      <c r="F21" s="3"/>
      <c r="G21" s="3"/>
      <c r="H21" s="3"/>
      <c r="I21" s="3"/>
      <c r="J21" s="3"/>
    </row>
    <row r="22" ht="15.75" customHeight="1">
      <c r="A22" s="21" t="s">
        <v>59</v>
      </c>
      <c r="B22" s="22" t="s">
        <v>61</v>
      </c>
      <c r="C22" s="3"/>
      <c r="D22" s="3"/>
      <c r="E22" s="3"/>
      <c r="F22" s="3"/>
      <c r="G22" s="3"/>
      <c r="H22" s="3"/>
      <c r="I22" s="3"/>
      <c r="J22" s="3"/>
    </row>
    <row r="23" ht="15.75" customHeight="1">
      <c r="A23" s="21" t="s">
        <v>63</v>
      </c>
      <c r="B23" s="22" t="s">
        <v>65</v>
      </c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2:J2"/>
    <mergeCell ref="E4:J4"/>
    <mergeCell ref="E6:J11"/>
    <mergeCell ref="E13:J13"/>
    <mergeCell ref="A4:B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7" width="14.0"/>
    <col customWidth="1" min="8" max="8" width="24.0"/>
    <col customWidth="1" min="9" max="10" width="14.0"/>
    <col customWidth="1" min="11" max="13" width="18.0"/>
    <col customWidth="1" min="14" max="26" width="8.63"/>
  </cols>
  <sheetData>
    <row r="1" ht="33.75" customHeight="1">
      <c r="A1" s="1" t="s">
        <v>2</v>
      </c>
    </row>
    <row r="2" ht="27.75" customHeight="1">
      <c r="A2" s="2" t="s">
        <v>3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5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8" t="s">
        <v>9</v>
      </c>
      <c r="C6" s="9" t="s">
        <v>11</v>
      </c>
      <c r="E6" s="8" t="s">
        <v>12</v>
      </c>
      <c r="G6" s="9" t="s">
        <v>13</v>
      </c>
      <c r="I6" s="8" t="s">
        <v>14</v>
      </c>
      <c r="K6" s="9" t="s">
        <v>15</v>
      </c>
    </row>
    <row r="7">
      <c r="A7" s="19">
        <f>COUNTIFS(Programs!$A$6:$A$205,"&lt;&gt;",Programs!$A$6:$A$205,"&lt;&gt;SAMPLE*")</f>
        <v>12</v>
      </c>
      <c r="B7" s="20"/>
      <c r="C7" s="19">
        <f>COUNTIFS(Applications!$A$6:$A$205,"&lt;&gt;",Applications!$A$6:$A$205,"&lt;&gt;SAMPLE*",Applications!$E$6:$E$205,"Preparing")+COUNTIFS(Applications!$A$6:$A$205,"&lt;&gt;",Applications!$A$6:$A$205,"&lt;&gt;SAMPLE*",Applications!$E$6:$E$205,"Ready")+COUNTIFS(Applications!$A$6:$A$205,"&lt;&gt;",Applications!$A$6:$A$205,"&lt;&gt;SAMPLE*",Applications!$E$6:$E$205,"Submitted")</f>
        <v>0</v>
      </c>
      <c r="D7" s="20"/>
      <c r="E7" s="19">
        <f>COUNTIFS(Scholarships!$A$6:$A$205,"&lt;&gt;",Scholarships!$A$6:$A$205,"&lt;&gt;SAMPLE*")</f>
        <v>13</v>
      </c>
      <c r="F7" s="20"/>
      <c r="G7" s="19">
        <f>COUNTIFS(Tasks!$A$6:$A$205,"&lt;&gt;",Tasks!$A$6:$A$205,"&lt;&gt;SAMPLE*",Tasks!$G$6:$G$205,"&lt;&gt;Done",Tasks!$F$6:$F$205,"&gt;="&amp;TODAY(),Tasks!$F$6:$F$205,"&lt;="&amp;TODAY()+7)</f>
        <v>0</v>
      </c>
      <c r="H7" s="20"/>
      <c r="I7" s="19">
        <f>COUNTIFS(Documents!$A$6:$A$205,"&lt;&gt;",Documents!$A$6:$A$205,"&lt;&gt;SAMPLE*",Documents!$G$6:$G$205,"Ready")</f>
        <v>0</v>
      </c>
      <c r="J7" s="20"/>
      <c r="K7" s="19">
        <f>COUNTIFS(Deadlines!$A$6:$A$205,"&lt;&gt;",Deadlines!$A$6:$A$205,"&lt;&gt;SAMPLE*",Deadlines!$H$6:$H$205,"&lt;&gt;Completed",Deadlines!$G$6:$G$205,"&gt;="&amp;TODAY(),Deadlines!$G$6:$G$205,"&lt;="&amp;TODAY()+30)</f>
        <v>0</v>
      </c>
      <c r="L7" s="31"/>
      <c r="M7" s="20"/>
    </row>
    <row r="8">
      <c r="A8" s="32"/>
      <c r="B8" s="33"/>
      <c r="C8" s="32"/>
      <c r="D8" s="33"/>
      <c r="E8" s="32"/>
      <c r="F8" s="33"/>
      <c r="G8" s="32"/>
      <c r="H8" s="33"/>
      <c r="I8" s="32"/>
      <c r="J8" s="33"/>
      <c r="K8" s="32"/>
      <c r="M8" s="33"/>
    </row>
    <row r="9">
      <c r="A9" s="35"/>
      <c r="B9" s="36"/>
      <c r="C9" s="35"/>
      <c r="D9" s="36"/>
      <c r="E9" s="35"/>
      <c r="F9" s="36"/>
      <c r="G9" s="35"/>
      <c r="H9" s="36"/>
      <c r="I9" s="35"/>
      <c r="J9" s="36"/>
      <c r="K9" s="35"/>
      <c r="L9" s="37"/>
      <c r="M9" s="36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9" t="s">
        <v>95</v>
      </c>
      <c r="G12" s="3"/>
      <c r="H12" s="39" t="s">
        <v>96</v>
      </c>
    </row>
    <row r="13">
      <c r="A13" s="42" t="s">
        <v>81</v>
      </c>
      <c r="B13" s="31"/>
      <c r="C13" s="43" t="s">
        <v>99</v>
      </c>
      <c r="D13" s="31"/>
      <c r="E13" s="43" t="s">
        <v>101</v>
      </c>
      <c r="F13" s="20"/>
      <c r="G13" s="3"/>
      <c r="H13" s="21" t="s">
        <v>103</v>
      </c>
      <c r="I13" s="47">
        <f>COUNTIFS(Applications!$A$6:$A$205,"&lt;&gt;SAMPLE*",Applications!$A$6:$A$205,"&lt;&gt;",Applications!$E$6:$E$205,H13)</f>
        <v>0</v>
      </c>
      <c r="J13" s="3"/>
      <c r="K13" s="48" t="s">
        <v>105</v>
      </c>
      <c r="L13" s="31"/>
      <c r="M13" s="20"/>
    </row>
    <row r="14">
      <c r="A14" s="50" t="str">
        <f t="array" ref="A14">IF(C14="","No upcoming real deadline",IFERROR(INDEX(Deadlines!$C$6:$C$205,MATCH(C14,Deadlines!$G$6:$G$205,0)),"Review Deadlines"))</f>
        <v>No upcoming real deadline</v>
      </c>
      <c r="C14" s="53" t="str">
        <f>IF(COUNTIFS(Deadlines!$A$6:$A$205,"&lt;&gt;SAMPLE*",Deadlines!$A$6:$A$205,"&lt;&gt;",Deadlines!$H$6:$H$205,"&lt;&gt;Completed",Deadlines!$G$6:$G$205,"&gt;="&amp;TODAY())=0,"",MINIFS(Deadlines!$G$6:$G$205,Deadlines!$A$6:$A$205,"&lt;&gt;SAMPLE*",Deadlines!$H$6:$H$205,"&lt;&gt;Completed",Deadlines!$G$6:$G$205,"&gt;="&amp;TODAY()))</f>
        <v/>
      </c>
      <c r="E14" s="55" t="str">
        <f>IF(C14="","—",C14-TODAY())</f>
        <v>—</v>
      </c>
      <c r="F14" s="33"/>
      <c r="G14" s="3"/>
      <c r="H14" s="21" t="s">
        <v>113</v>
      </c>
      <c r="I14" s="47">
        <f>COUNTIFS(Applications!$A$6:$A$205,"&lt;&gt;SAMPLE*",Applications!$A$6:$A$205,"&lt;&gt;",Applications!$E$6:$E$205,H14)</f>
        <v>0</v>
      </c>
      <c r="J14" s="3"/>
      <c r="K14" s="32"/>
      <c r="M14" s="33"/>
    </row>
    <row r="15">
      <c r="A15" s="32"/>
      <c r="F15" s="33"/>
      <c r="G15" s="3"/>
      <c r="H15" s="21" t="s">
        <v>114</v>
      </c>
      <c r="I15" s="47">
        <f>COUNTIFS(Applications!$A$6:$A$205,"&lt;&gt;SAMPLE*",Applications!$A$6:$A$205,"&lt;&gt;",Applications!$E$6:$E$205,H15)</f>
        <v>0</v>
      </c>
      <c r="J15" s="3"/>
      <c r="K15" s="32"/>
      <c r="M15" s="33"/>
    </row>
    <row r="16">
      <c r="A16" s="32"/>
      <c r="F16" s="33"/>
      <c r="G16" s="3"/>
      <c r="H16" s="21" t="s">
        <v>115</v>
      </c>
      <c r="I16" s="47">
        <f>COUNTIFS(Applications!$A$6:$A$205,"&lt;&gt;SAMPLE*",Applications!$A$6:$A$205,"&lt;&gt;",Applications!$E$6:$E$205,H16)</f>
        <v>0</v>
      </c>
      <c r="J16" s="3"/>
      <c r="K16" s="32"/>
      <c r="M16" s="33"/>
    </row>
    <row r="17">
      <c r="A17" s="32"/>
      <c r="F17" s="33"/>
      <c r="G17" s="3"/>
      <c r="H17" s="21" t="s">
        <v>116</v>
      </c>
      <c r="I17" s="47">
        <f>COUNTIFS(Applications!$A$6:$A$205,"&lt;&gt;SAMPLE*",Applications!$A$6:$A$205,"&lt;&gt;",Applications!$E$6:$E$205,H17)</f>
        <v>0</v>
      </c>
      <c r="J17" s="3"/>
      <c r="K17" s="32"/>
      <c r="M17" s="33"/>
    </row>
    <row r="18">
      <c r="A18" s="57" t="s">
        <v>118</v>
      </c>
      <c r="B18" s="37"/>
      <c r="C18" s="37"/>
      <c r="D18" s="37"/>
      <c r="E18" s="37"/>
      <c r="F18" s="36"/>
      <c r="G18" s="3"/>
      <c r="H18" s="21" t="s">
        <v>120</v>
      </c>
      <c r="I18" s="47">
        <f>COUNTIFS(Applications!$A$6:$A$205,"&lt;&gt;SAMPLE*",Applications!$A$6:$A$205,"&lt;&gt;",Applications!$O$6:$O$205,"&lt;&gt;Pending",Applications!$O$6:$O$205,"&lt;&gt;")</f>
        <v>0</v>
      </c>
      <c r="J18" s="3"/>
      <c r="K18" s="35"/>
      <c r="L18" s="37"/>
      <c r="M18" s="36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63" t="s">
        <v>126</v>
      </c>
      <c r="G21" s="3"/>
      <c r="H21" s="63" t="s">
        <v>128</v>
      </c>
    </row>
    <row r="22" ht="15.75" customHeight="1">
      <c r="A22" s="21" t="s">
        <v>129</v>
      </c>
      <c r="B22" s="47">
        <f>COUNTIFS(Deadlines!$A$6:$A$205,"&lt;&gt;SAMPLE*",Deadlines!$A$6:$A$205,"&lt;&gt;",Deadlines!$H$6:$H$205,"&lt;&gt;Completed",Deadlines!$G$6:$G$205,"&lt;"&amp;TODAY())</f>
        <v>0</v>
      </c>
      <c r="C22" s="3"/>
      <c r="D22" s="3"/>
      <c r="E22" s="3"/>
      <c r="F22" s="3"/>
      <c r="G22" s="3"/>
      <c r="H22" s="21" t="s">
        <v>132</v>
      </c>
      <c r="I22" s="47">
        <f>COUNTIFS(Tasks!$A$6:$A$205,"&lt;&gt;SAMPLE*",Tasks!$A$6:$A$205,"&lt;&gt;",Tasks!$H$6:$H$205,TRUE,Tasks!$G$6:$G$205,"&lt;&gt;Done")</f>
        <v>0</v>
      </c>
      <c r="J22" s="3"/>
      <c r="K22" s="67" t="s">
        <v>134</v>
      </c>
      <c r="L22" s="68"/>
      <c r="M22" s="69"/>
    </row>
    <row r="23" ht="15.75" customHeight="1">
      <c r="A23" s="21" t="s">
        <v>135</v>
      </c>
      <c r="B23" s="47">
        <f>COUNTIFS(Deadlines!$A$6:$A$205,"&lt;&gt;SAMPLE*",Deadlines!$A$6:$A$205,"&lt;&gt;",Deadlines!$H$6:$H$205,"&lt;&gt;Completed",Deadlines!$G$6:$G$205,TODAY())</f>
        <v>0</v>
      </c>
      <c r="C23" s="3"/>
      <c r="D23" s="3"/>
      <c r="E23" s="3"/>
      <c r="F23" s="3"/>
      <c r="G23" s="3"/>
      <c r="H23" s="21" t="s">
        <v>14</v>
      </c>
      <c r="I23" s="47">
        <f>COUNTIFS(Documents!$A$6:$A$205,"&lt;&gt;SAMPLE*",Documents!$A$6:$A$205,"&lt;&gt;",Documents!$G$6:$G$205,"Ready")</f>
        <v>0</v>
      </c>
      <c r="J23" s="3"/>
      <c r="K23" s="72"/>
      <c r="M23" s="73"/>
    </row>
    <row r="24" ht="15.75" customHeight="1">
      <c r="A24" s="21" t="s">
        <v>140</v>
      </c>
      <c r="B24" s="47">
        <f>COUNTIFS(Deadlines!$A$6:$A$205,"&lt;&gt;SAMPLE*",Deadlines!$A$6:$A$205,"&lt;&gt;",Deadlines!$H$6:$H$205,"&lt;&gt;Completed",Deadlines!$G$6:$G$205,"&gt;"&amp;TODAY(),Deadlines!$G$6:$G$205,"&lt;="&amp;TODAY()+7)</f>
        <v>0</v>
      </c>
      <c r="C24" s="3"/>
      <c r="D24" s="3"/>
      <c r="E24" s="3"/>
      <c r="F24" s="3"/>
      <c r="G24" s="3"/>
      <c r="H24" s="21" t="s">
        <v>142</v>
      </c>
      <c r="I24" s="47">
        <f>COUNTIFS(Essays!$A$6:$A$205,"&lt;&gt;SAMPLE*",Essays!$A$6:$A$205,"&lt;&gt;",Essays!$G$6:$G$205,"Final")</f>
        <v>0</v>
      </c>
      <c r="J24" s="3"/>
      <c r="K24" s="72"/>
      <c r="M24" s="73"/>
    </row>
    <row r="25" ht="15.75" customHeight="1">
      <c r="A25" s="21" t="s">
        <v>143</v>
      </c>
      <c r="B25" s="47">
        <f>COUNTIFS(Deadlines!$A$6:$A$205,"&lt;&gt;SAMPLE*",Deadlines!$A$6:$A$205,"&lt;&gt;",Deadlines!$H$6:$H$205,"&lt;&gt;Completed",Deadlines!$G$6:$G$205,"&gt;"&amp;TODAY()+7,Deadlines!$G$6:$G$205,"&lt;="&amp;TODAY()+30)</f>
        <v>0</v>
      </c>
      <c r="C25" s="3"/>
      <c r="D25" s="3"/>
      <c r="E25" s="3"/>
      <c r="F25" s="3"/>
      <c r="G25" s="3"/>
      <c r="H25" s="21" t="s">
        <v>145</v>
      </c>
      <c r="I25" s="47">
        <f>COUNTIFS(Recommenders!$A$6:$A$205,"&lt;&gt;SAMPLE*",Recommenders!$A$6:$A$205,"&lt;&gt;",Recommenders!$H$6:$H$205,"Submitted")</f>
        <v>0</v>
      </c>
      <c r="J25" s="3"/>
      <c r="K25" s="72"/>
      <c r="M25" s="73"/>
    </row>
    <row r="26" ht="15.75" customHeight="1">
      <c r="A26" s="3"/>
      <c r="B26" s="3"/>
      <c r="C26" s="3"/>
      <c r="D26" s="3"/>
      <c r="E26" s="3"/>
      <c r="F26" s="3"/>
      <c r="G26" s="3"/>
      <c r="H26" s="21" t="s">
        <v>149</v>
      </c>
      <c r="I26" s="47">
        <f>COUNTIFS(Costs!$A$6:$A$205,"&lt;&gt;SAMPLE*",Costs!$A$6:$A$205,"&lt;&gt;",Costs!$H$6:$H$205,"Due")</f>
        <v>0</v>
      </c>
      <c r="J26" s="3"/>
      <c r="K26" s="75"/>
      <c r="L26" s="76"/>
      <c r="M26" s="77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79" t="s">
        <v>158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22.5" customHeight="1">
      <c r="A31" s="81" t="s">
        <v>163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8.0" customHeight="1">
      <c r="A33" s="83" t="s">
        <v>167</v>
      </c>
      <c r="B33" s="31"/>
      <c r="C33" s="31"/>
      <c r="D33" s="20"/>
      <c r="E33" s="83" t="s">
        <v>169</v>
      </c>
      <c r="F33" s="31"/>
      <c r="G33" s="31"/>
      <c r="H33" s="20"/>
      <c r="I33" s="83" t="s">
        <v>170</v>
      </c>
      <c r="J33" s="31"/>
      <c r="K33" s="31"/>
      <c r="L33" s="31"/>
      <c r="M33" s="20"/>
    </row>
    <row r="34" ht="18.0" customHeight="1">
      <c r="A34" s="85">
        <f>SUMIFS(Costs!$L$6:$L$205,Costs!$A$6:$A$205,"&lt;&gt;SAMPLE*",Costs!$A$6:$A$205,"&lt;&gt;",Costs!$H$6:$H$205,"&lt;&gt;Waived",Costs!$H$6:$H$205,"&lt;&gt;Refunded")</f>
        <v>0</v>
      </c>
      <c r="D34" s="33"/>
      <c r="E34" s="87">
        <f>SUMIFS(Costs!$M$6:$M$205,Costs!$A$6:$A$205,"&lt;&gt;SAMPLE*",Costs!$A$6:$A$205,"&lt;&gt;",Costs!$H$6:$H$205,"&lt;&gt;Waived",Costs!$H$6:$H$205,"&lt;&gt;Refunded")</f>
        <v>0</v>
      </c>
      <c r="H34" s="33"/>
      <c r="I34" s="88">
        <f>SUMIFS(Costs!$N$6:$N$205,Costs!$A$6:$A$205,"&lt;&gt;SAMPLE*",Costs!$A$6:$A$205,"&lt;&gt;",Costs!$H$6:$H$205,"&lt;&gt;Waived",Costs!$H$6:$H$205,"&lt;&gt;Refunded")</f>
        <v>0</v>
      </c>
      <c r="M34" s="33"/>
    </row>
    <row r="35" ht="18.0" customHeight="1">
      <c r="A35" s="32"/>
      <c r="D35" s="33"/>
      <c r="E35" s="32"/>
      <c r="H35" s="33"/>
      <c r="I35" s="32"/>
      <c r="M35" s="33"/>
    </row>
    <row r="36" ht="18.0" customHeight="1">
      <c r="A36" s="35"/>
      <c r="B36" s="37"/>
      <c r="C36" s="37"/>
      <c r="D36" s="36"/>
      <c r="E36" s="35"/>
      <c r="F36" s="37"/>
      <c r="G36" s="37"/>
      <c r="H36" s="36"/>
      <c r="I36" s="35"/>
      <c r="J36" s="37"/>
      <c r="K36" s="37"/>
      <c r="L36" s="37"/>
      <c r="M36" s="36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8.0" customHeight="1">
      <c r="A38" s="83" t="s">
        <v>175</v>
      </c>
      <c r="B38" s="31"/>
      <c r="C38" s="31"/>
      <c r="D38" s="20"/>
      <c r="E38" s="83" t="s">
        <v>176</v>
      </c>
      <c r="F38" s="31"/>
      <c r="G38" s="31"/>
      <c r="H38" s="20"/>
      <c r="I38" s="83" t="s">
        <v>177</v>
      </c>
      <c r="J38" s="31"/>
      <c r="K38" s="31"/>
      <c r="L38" s="31"/>
      <c r="M38" s="20"/>
    </row>
    <row r="39" ht="18.0" customHeight="1">
      <c r="A39" s="89">
        <f>SUMIFS(Scholarships!$S$6:$S$205,Scholarships!$A$6:$A$205,"&lt;&gt;SAMPLE*",Scholarships!$A$6:$A$205,"&lt;&gt;",Scholarships!$L$6:$L$205,"&lt;&gt;Rejected",Scholarships!$L$6:$L$205,"&lt;&gt;Withdrawn",Scholarships!$L$6:$L$205,"&lt;&gt;Not Required")</f>
        <v>1047949</v>
      </c>
      <c r="D39" s="33"/>
      <c r="E39" s="91">
        <f>SUMIFS(Scholarships!$T$6:$T$205,Scholarships!$A$6:$A$205,"&lt;&gt;SAMPLE*",Scholarships!$A$6:$A$205,"&lt;&gt;",Scholarships!$L$6:$L$205,"&lt;&gt;Rejected",Scholarships!$L$6:$L$205,"&lt;&gt;Withdrawn",Scholarships!$L$6:$L$205,"&lt;&gt;Not Required")</f>
        <v>80500</v>
      </c>
      <c r="H39" s="33"/>
      <c r="I39" s="92">
        <f>SUMIFS(Scholarships!$U$6:$U$205,Scholarships!$A$6:$A$205,"&lt;&gt;SAMPLE*",Scholarships!$A$6:$A$205,"&lt;&gt;",Scholarships!$L$6:$L$205,"&lt;&gt;Rejected",Scholarships!$L$6:$L$205,"&lt;&gt;Withdrawn",Scholarships!$L$6:$L$205,"&lt;&gt;Not Required")</f>
        <v>94092.44853</v>
      </c>
      <c r="M39" s="33"/>
    </row>
    <row r="40" ht="18.0" customHeight="1">
      <c r="A40" s="32"/>
      <c r="D40" s="33"/>
      <c r="E40" s="32"/>
      <c r="H40" s="33"/>
      <c r="I40" s="32"/>
      <c r="M40" s="33"/>
    </row>
    <row r="41" ht="18.0" customHeight="1">
      <c r="A41" s="35"/>
      <c r="B41" s="37"/>
      <c r="C41" s="37"/>
      <c r="D41" s="36"/>
      <c r="E41" s="35"/>
      <c r="F41" s="37"/>
      <c r="G41" s="37"/>
      <c r="H41" s="36"/>
      <c r="I41" s="35"/>
      <c r="J41" s="37"/>
      <c r="K41" s="37"/>
      <c r="L41" s="37"/>
      <c r="M41" s="36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8.0" customHeight="1">
      <c r="A43" s="94" t="s">
        <v>186</v>
      </c>
      <c r="B43" s="31"/>
      <c r="C43" s="31"/>
      <c r="D43" s="20"/>
      <c r="E43" s="94" t="s">
        <v>187</v>
      </c>
      <c r="F43" s="31"/>
      <c r="G43" s="31"/>
      <c r="H43" s="20"/>
      <c r="I43" s="94" t="s">
        <v>188</v>
      </c>
      <c r="J43" s="31"/>
      <c r="K43" s="31"/>
      <c r="L43" s="31"/>
      <c r="M43" s="20"/>
    </row>
    <row r="44" ht="18.0" customHeight="1">
      <c r="A44" s="95">
        <f>SUMIFS(Decisions!$N$6:$N$205,Decisions!$A$6:$A$205,"&lt;&gt;SAMPLE*",Decisions!$A$6:$A$205,"&lt;&gt;",Decisions!$E$6:$E$205,"Awarded")</f>
        <v>0</v>
      </c>
      <c r="D44" s="33"/>
      <c r="E44" s="96">
        <f>SUMIFS(Decisions!$O$6:$O$205,Decisions!$A$6:$A$205,"&lt;&gt;SAMPLE*",Decisions!$A$6:$A$205,"&lt;&gt;",Decisions!$E$6:$E$205,"Awarded")</f>
        <v>0</v>
      </c>
      <c r="H44" s="33"/>
      <c r="I44" s="98">
        <f>SUMIFS(Decisions!$P$6:$P$205,Decisions!$A$6:$A$205,"&lt;&gt;SAMPLE*",Decisions!$A$6:$A$205,"&lt;&gt;",Decisions!$E$6:$E$205,"Awarded")</f>
        <v>0</v>
      </c>
      <c r="M44" s="33"/>
    </row>
    <row r="45" ht="18.0" customHeight="1">
      <c r="A45" s="32"/>
      <c r="D45" s="33"/>
      <c r="E45" s="32"/>
      <c r="H45" s="33"/>
      <c r="I45" s="32"/>
      <c r="M45" s="33"/>
    </row>
    <row r="46" ht="18.0" customHeight="1">
      <c r="A46" s="35"/>
      <c r="B46" s="37"/>
      <c r="C46" s="37"/>
      <c r="D46" s="36"/>
      <c r="E46" s="35"/>
      <c r="F46" s="37"/>
      <c r="G46" s="37"/>
      <c r="H46" s="36"/>
      <c r="I46" s="35"/>
      <c r="J46" s="37"/>
      <c r="K46" s="37"/>
      <c r="L46" s="37"/>
      <c r="M46" s="36"/>
    </row>
    <row r="47" ht="18.0" customHeight="1"/>
    <row r="48" ht="18.0" customHeight="1">
      <c r="A48" s="94" t="s">
        <v>195</v>
      </c>
      <c r="B48" s="31"/>
      <c r="C48" s="31"/>
      <c r="D48" s="20"/>
      <c r="E48" s="94" t="s">
        <v>197</v>
      </c>
      <c r="F48" s="31"/>
      <c r="G48" s="31"/>
      <c r="H48" s="20"/>
      <c r="I48" s="94" t="s">
        <v>199</v>
      </c>
      <c r="J48" s="31"/>
      <c r="K48" s="31"/>
      <c r="L48" s="31"/>
      <c r="M48" s="20"/>
    </row>
    <row r="49" ht="18.0" customHeight="1">
      <c r="A49" s="100">
        <f>A34-A44</f>
        <v>0</v>
      </c>
      <c r="D49" s="33"/>
      <c r="E49" s="101">
        <f>E34-E44</f>
        <v>0</v>
      </c>
      <c r="H49" s="33"/>
      <c r="I49" s="102">
        <f>I34-I44</f>
        <v>0</v>
      </c>
      <c r="M49" s="33"/>
    </row>
    <row r="50" ht="15.75" customHeight="1">
      <c r="A50" s="32"/>
      <c r="D50" s="33"/>
      <c r="E50" s="32"/>
      <c r="H50" s="33"/>
      <c r="I50" s="32"/>
      <c r="M50" s="33"/>
    </row>
    <row r="51" ht="15.75" customHeight="1">
      <c r="A51" s="35"/>
      <c r="B51" s="37"/>
      <c r="C51" s="37"/>
      <c r="D51" s="36"/>
      <c r="E51" s="35"/>
      <c r="F51" s="37"/>
      <c r="G51" s="37"/>
      <c r="H51" s="36"/>
      <c r="I51" s="35"/>
      <c r="J51" s="37"/>
      <c r="K51" s="37"/>
      <c r="L51" s="37"/>
      <c r="M51" s="36"/>
    </row>
    <row r="52" ht="15.75" customHeight="1"/>
    <row r="53" ht="21.0" customHeight="1">
      <c r="A53" s="103" t="s">
        <v>203</v>
      </c>
    </row>
    <row r="54" ht="21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I6:J6"/>
    <mergeCell ref="K6:M6"/>
    <mergeCell ref="K13:M18"/>
    <mergeCell ref="K22:M26"/>
    <mergeCell ref="A1:M1"/>
    <mergeCell ref="A2:M2"/>
    <mergeCell ref="A4:M4"/>
    <mergeCell ref="A6:B6"/>
    <mergeCell ref="C6:D6"/>
    <mergeCell ref="E6:F6"/>
    <mergeCell ref="G6:H6"/>
    <mergeCell ref="A7:B9"/>
    <mergeCell ref="C7:D9"/>
    <mergeCell ref="E7:F9"/>
    <mergeCell ref="G7:H9"/>
    <mergeCell ref="I7:J9"/>
    <mergeCell ref="K7:M9"/>
    <mergeCell ref="H12:M12"/>
    <mergeCell ref="A12:F12"/>
    <mergeCell ref="A13:B13"/>
    <mergeCell ref="C13:D13"/>
    <mergeCell ref="E13:F13"/>
    <mergeCell ref="A14:B17"/>
    <mergeCell ref="C14:D17"/>
    <mergeCell ref="E14:F17"/>
    <mergeCell ref="E33:H33"/>
    <mergeCell ref="E34:H36"/>
    <mergeCell ref="E38:H38"/>
    <mergeCell ref="E39:H41"/>
    <mergeCell ref="E43:H43"/>
    <mergeCell ref="E44:H46"/>
    <mergeCell ref="E48:H48"/>
    <mergeCell ref="E49:H51"/>
    <mergeCell ref="I33:M33"/>
    <mergeCell ref="I34:M36"/>
    <mergeCell ref="I38:M38"/>
    <mergeCell ref="I39:M41"/>
    <mergeCell ref="I43:M43"/>
    <mergeCell ref="I44:M46"/>
    <mergeCell ref="I48:M48"/>
    <mergeCell ref="I49:M51"/>
    <mergeCell ref="A38:D38"/>
    <mergeCell ref="A39:D41"/>
    <mergeCell ref="A43:D43"/>
    <mergeCell ref="A44:D46"/>
    <mergeCell ref="A48:D48"/>
    <mergeCell ref="A49:D51"/>
    <mergeCell ref="A53:M54"/>
    <mergeCell ref="A18:F18"/>
    <mergeCell ref="A21:F21"/>
    <mergeCell ref="H21:M21"/>
    <mergeCell ref="A29:M29"/>
    <mergeCell ref="A31:M31"/>
    <mergeCell ref="A33:D33"/>
    <mergeCell ref="A34:D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33.13"/>
    <col customWidth="1" min="3" max="3" width="45.63"/>
    <col customWidth="1" min="4" max="4" width="13.88"/>
    <col customWidth="1" min="5" max="5" width="16.88"/>
    <col customWidth="1" min="6" max="6" width="16.13"/>
    <col customWidth="1" min="7" max="7" width="16.0"/>
    <col customWidth="1" min="8" max="8" width="13.0"/>
    <col customWidth="1" min="9" max="9" width="16.63"/>
    <col customWidth="1" min="10" max="10" width="13.38"/>
    <col customWidth="1" min="11" max="11" width="15.63"/>
    <col customWidth="1" min="12" max="12" width="17.25"/>
    <col customWidth="1" min="13" max="13" width="15.13"/>
    <col customWidth="1" min="14" max="14" width="17.25"/>
    <col customWidth="1" min="15" max="15" width="15.0"/>
    <col customWidth="1" min="16" max="17" width="28.0"/>
    <col customWidth="1" min="18" max="18" width="16.0"/>
    <col customWidth="1" min="19" max="19" width="40.0"/>
    <col customWidth="1" min="20" max="26" width="8.63"/>
  </cols>
  <sheetData>
    <row r="1" ht="33.75" customHeight="1">
      <c r="A1" s="1" t="s">
        <v>32</v>
      </c>
    </row>
    <row r="2" ht="27.75" customHeight="1">
      <c r="A2" s="2" t="s">
        <v>36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31.5" customHeight="1">
      <c r="A5" s="28" t="s">
        <v>50</v>
      </c>
      <c r="B5" s="28" t="s">
        <v>56</v>
      </c>
      <c r="C5" s="28" t="s">
        <v>60</v>
      </c>
      <c r="D5" s="28" t="s">
        <v>64</v>
      </c>
      <c r="E5" s="28" t="s">
        <v>66</v>
      </c>
      <c r="F5" s="28" t="s">
        <v>68</v>
      </c>
      <c r="G5" s="28" t="s">
        <v>70</v>
      </c>
      <c r="H5" s="28" t="s">
        <v>73</v>
      </c>
      <c r="I5" s="28" t="s">
        <v>75</v>
      </c>
      <c r="J5" s="28" t="s">
        <v>76</v>
      </c>
      <c r="K5" s="28" t="s">
        <v>77</v>
      </c>
      <c r="L5" s="28" t="s">
        <v>78</v>
      </c>
      <c r="M5" s="28" t="s">
        <v>80</v>
      </c>
      <c r="N5" s="28" t="s">
        <v>106</v>
      </c>
      <c r="O5" s="28" t="s">
        <v>107</v>
      </c>
      <c r="P5" s="28" t="s">
        <v>83</v>
      </c>
      <c r="Q5" s="28" t="s">
        <v>108</v>
      </c>
      <c r="R5" s="28" t="s">
        <v>84</v>
      </c>
      <c r="S5" s="28" t="s">
        <v>85</v>
      </c>
      <c r="T5" s="30" t="s">
        <v>83</v>
      </c>
      <c r="U5" s="30" t="s">
        <v>108</v>
      </c>
      <c r="V5" s="30" t="s">
        <v>84</v>
      </c>
      <c r="W5" s="30" t="s">
        <v>85</v>
      </c>
    </row>
    <row r="6" ht="24.0" customHeight="1">
      <c r="A6" s="34" t="s">
        <v>93</v>
      </c>
      <c r="B6" s="38" t="s">
        <v>91</v>
      </c>
      <c r="C6" s="38" t="s">
        <v>109</v>
      </c>
      <c r="D6" s="40" t="s">
        <v>110</v>
      </c>
      <c r="E6" s="40" t="s">
        <v>92</v>
      </c>
      <c r="F6" s="38" t="s">
        <v>112</v>
      </c>
      <c r="G6" s="40" t="s">
        <v>113</v>
      </c>
      <c r="H6" s="40">
        <v>5.0</v>
      </c>
      <c r="I6" s="40">
        <v>5.0</v>
      </c>
      <c r="J6" s="40">
        <v>5.0</v>
      </c>
      <c r="K6" s="40">
        <v>4.0</v>
      </c>
      <c r="L6" s="40">
        <v>4.0</v>
      </c>
      <c r="M6" s="40">
        <v>5.0</v>
      </c>
      <c r="N6" s="46">
        <f>IF(A6="","",IF(COUNT(I6:M6)&lt;5,"",ROUND(SUMPRODUCT(I6:M6,Setup!$A$12:$E$12)/5,0)))</f>
        <v>92</v>
      </c>
      <c r="O6" s="56" t="str">
        <f>IF(A6="","",IF(COUNTIFS(Deadlines!$D$6:$D$205,A6,Deadlines!$H$6:$H$205,"&lt;&gt;Completed",Deadlines!$G$6:$G$205,"&lt;&gt;")=0,"",MINIFS(Deadlines!$G$6:$G$205,Deadlines!$D$6:$D$205,A6,Deadlines!$H$6:$H$205,"&lt;&gt;Completed")))</f>
        <v/>
      </c>
      <c r="P6" s="60" t="s">
        <v>117</v>
      </c>
      <c r="Q6" s="62"/>
      <c r="R6" s="51">
        <v>46256.0</v>
      </c>
      <c r="S6" s="52" t="s">
        <v>131</v>
      </c>
    </row>
    <row r="7" ht="24.0" customHeight="1">
      <c r="A7" s="58" t="s">
        <v>124</v>
      </c>
      <c r="B7" s="58" t="s">
        <v>136</v>
      </c>
      <c r="C7" s="58" t="s">
        <v>137</v>
      </c>
      <c r="D7" s="59" t="s">
        <v>110</v>
      </c>
      <c r="E7" s="59" t="s">
        <v>123</v>
      </c>
      <c r="F7" s="58" t="s">
        <v>139</v>
      </c>
      <c r="G7" s="59" t="s">
        <v>113</v>
      </c>
      <c r="H7" s="59">
        <v>5.0</v>
      </c>
      <c r="I7" s="59">
        <v>5.0</v>
      </c>
      <c r="J7" s="59">
        <v>5.0</v>
      </c>
      <c r="K7" s="59">
        <v>2.0</v>
      </c>
      <c r="L7" s="59">
        <v>4.0</v>
      </c>
      <c r="M7" s="59">
        <v>4.0</v>
      </c>
      <c r="N7" s="66">
        <f>IF(A7="","",IF(COUNT(I7:M7)&lt;5,"",ROUND(SUMPRODUCT(I7:M7,Setup!$A$12:$E$12)/5,0)))</f>
        <v>80</v>
      </c>
      <c r="O7" s="74" t="str">
        <f>IF(A7="","",IF(COUNTIFS(Deadlines!$D$6:$D$205,A7,Deadlines!$H$6:$H$205,"&lt;&gt;Completed",Deadlines!$G$6:$G$205,"&lt;&gt;")=0,"",MINIFS(Deadlines!$G$6:$G$205,Deadlines!$D$6:$D$205,A7,Deadlines!$H$6:$H$205,"&lt;&gt;Completed")))</f>
        <v/>
      </c>
      <c r="P7" s="70" t="s">
        <v>151</v>
      </c>
      <c r="Q7" s="78"/>
      <c r="R7" s="71">
        <v>46256.0</v>
      </c>
      <c r="S7" s="58" t="s">
        <v>162</v>
      </c>
    </row>
    <row r="8" ht="24.0" customHeight="1">
      <c r="A8" s="58" t="s">
        <v>164</v>
      </c>
      <c r="B8" s="58" t="s">
        <v>160</v>
      </c>
      <c r="C8" s="58" t="s">
        <v>174</v>
      </c>
      <c r="D8" s="59" t="s">
        <v>110</v>
      </c>
      <c r="E8" s="59" t="s">
        <v>92</v>
      </c>
      <c r="F8" s="58" t="s">
        <v>112</v>
      </c>
      <c r="G8" s="59" t="s">
        <v>113</v>
      </c>
      <c r="H8" s="59">
        <v>5.0</v>
      </c>
      <c r="I8" s="59">
        <v>5.0</v>
      </c>
      <c r="J8" s="59">
        <v>5.0</v>
      </c>
      <c r="K8" s="59">
        <v>4.0</v>
      </c>
      <c r="L8" s="59">
        <v>3.0</v>
      </c>
      <c r="M8" s="59">
        <v>5.0</v>
      </c>
      <c r="N8" s="66">
        <f>IF(A8="","",IF(COUNT(I8:M8)&lt;5,"",ROUND(SUMPRODUCT(I8:M8,Setup!$A$12:$E$12)/5,0)))</f>
        <v>89</v>
      </c>
      <c r="O8" s="74" t="str">
        <f>IF(A8="","",IF(COUNTIFS(Deadlines!$D$6:$D$205,A8,Deadlines!$H$6:$H$205,"&lt;&gt;Completed",Deadlines!$G$6:$G$205,"&lt;&gt;")=0,"",MINIFS(Deadlines!$G$6:$G$205,Deadlines!$D$6:$D$205,A8,Deadlines!$H$6:$H$205,"&lt;&gt;Completed")))</f>
        <v/>
      </c>
      <c r="P8" s="70" t="s">
        <v>180</v>
      </c>
      <c r="Q8" s="78"/>
      <c r="R8" s="71">
        <v>46256.0</v>
      </c>
      <c r="S8" s="58" t="s">
        <v>184</v>
      </c>
    </row>
    <row r="9" ht="24.0" customHeight="1">
      <c r="A9" s="58" t="s">
        <v>179</v>
      </c>
      <c r="B9" s="58" t="s">
        <v>136</v>
      </c>
      <c r="C9" s="58" t="s">
        <v>189</v>
      </c>
      <c r="D9" s="59" t="s">
        <v>110</v>
      </c>
      <c r="E9" s="59" t="s">
        <v>123</v>
      </c>
      <c r="F9" s="58" t="s">
        <v>139</v>
      </c>
      <c r="G9" s="59" t="s">
        <v>113</v>
      </c>
      <c r="H9" s="59">
        <v>4.0</v>
      </c>
      <c r="I9" s="59">
        <v>4.0</v>
      </c>
      <c r="J9" s="59">
        <v>5.0</v>
      </c>
      <c r="K9" s="59">
        <v>2.0</v>
      </c>
      <c r="L9" s="59">
        <v>3.0</v>
      </c>
      <c r="M9" s="59">
        <v>4.0</v>
      </c>
      <c r="N9" s="66">
        <f>IF(A9="","",IF(COUNT(I9:M9)&lt;5,"",ROUND(SUMPRODUCT(I9:M9,Setup!$A$12:$E$12)/5,0)))</f>
        <v>73</v>
      </c>
      <c r="O9" s="74" t="str">
        <f>IF(A9="","",IF(COUNTIFS(Deadlines!$D$6:$D$205,A9,Deadlines!$H$6:$H$205,"&lt;&gt;Completed",Deadlines!$G$6:$G$205,"&lt;&gt;")=0,"",MINIFS(Deadlines!$G$6:$G$205,Deadlines!$D$6:$D$205,A9,Deadlines!$H$6:$H$205,"&lt;&gt;Completed")))</f>
        <v/>
      </c>
      <c r="P9" s="70" t="s">
        <v>202</v>
      </c>
      <c r="Q9" s="78"/>
      <c r="R9" s="71">
        <v>46256.0</v>
      </c>
      <c r="S9" s="58" t="s">
        <v>204</v>
      </c>
    </row>
    <row r="10" ht="24.0" customHeight="1">
      <c r="A10" s="58" t="s">
        <v>193</v>
      </c>
      <c r="B10" s="58" t="s">
        <v>210</v>
      </c>
      <c r="C10" s="58" t="s">
        <v>211</v>
      </c>
      <c r="D10" s="59" t="s">
        <v>110</v>
      </c>
      <c r="E10" s="59" t="s">
        <v>92</v>
      </c>
      <c r="F10" s="58" t="s">
        <v>112</v>
      </c>
      <c r="G10" s="59" t="s">
        <v>113</v>
      </c>
      <c r="H10" s="59">
        <v>5.0</v>
      </c>
      <c r="I10" s="59">
        <v>5.0</v>
      </c>
      <c r="J10" s="59">
        <v>5.0</v>
      </c>
      <c r="K10" s="59">
        <v>4.0</v>
      </c>
      <c r="L10" s="59">
        <v>3.0</v>
      </c>
      <c r="M10" s="59">
        <v>5.0</v>
      </c>
      <c r="N10" s="66">
        <f>IF(A10="","",IF(COUNT(I10:M10)&lt;5,"",ROUND(SUMPRODUCT(I10:M10,Setup!$A$12:$E$12)/5,0)))</f>
        <v>89</v>
      </c>
      <c r="O10" s="74" t="str">
        <f>IF(A10="","",IF(COUNTIFS(Deadlines!$D$6:$D$205,A10,Deadlines!$H$6:$H$205,"&lt;&gt;Completed",Deadlines!$G$6:$G$205,"&lt;&gt;")=0,"",MINIFS(Deadlines!$G$6:$G$205,Deadlines!$D$6:$D$205,A10,Deadlines!$H$6:$H$205,"&lt;&gt;Completed")))</f>
        <v/>
      </c>
      <c r="P10" s="70" t="s">
        <v>216</v>
      </c>
      <c r="Q10" s="78"/>
      <c r="R10" s="71">
        <v>46256.0</v>
      </c>
      <c r="S10" s="58" t="s">
        <v>217</v>
      </c>
    </row>
    <row r="11" ht="24.0" customHeight="1">
      <c r="A11" s="58" t="s">
        <v>208</v>
      </c>
      <c r="B11" s="58" t="s">
        <v>207</v>
      </c>
      <c r="C11" s="58" t="s">
        <v>223</v>
      </c>
      <c r="D11" s="59" t="s">
        <v>110</v>
      </c>
      <c r="E11" s="59" t="s">
        <v>92</v>
      </c>
      <c r="F11" s="58" t="s">
        <v>112</v>
      </c>
      <c r="G11" s="59" t="s">
        <v>113</v>
      </c>
      <c r="H11" s="59">
        <v>4.0</v>
      </c>
      <c r="I11" s="59">
        <v>5.0</v>
      </c>
      <c r="J11" s="59">
        <v>4.0</v>
      </c>
      <c r="K11" s="59">
        <v>2.0</v>
      </c>
      <c r="L11" s="59">
        <v>3.0</v>
      </c>
      <c r="M11" s="59">
        <v>5.0</v>
      </c>
      <c r="N11" s="66">
        <f>IF(A11="","",IF(COUNT(I11:M11)&lt;5,"",ROUND(SUMPRODUCT(I11:M11,Setup!$A$12:$E$12)/5,0)))</f>
        <v>73</v>
      </c>
      <c r="O11" s="74" t="str">
        <f>IF(A11="","",IF(COUNTIFS(Deadlines!$D$6:$D$205,A11,Deadlines!$H$6:$H$205,"&lt;&gt;Completed",Deadlines!$G$6:$G$205,"&lt;&gt;")=0,"",MINIFS(Deadlines!$G$6:$G$205,Deadlines!$D$6:$D$205,A11,Deadlines!$H$6:$H$205,"&lt;&gt;Completed")))</f>
        <v/>
      </c>
      <c r="P11" s="70" t="s">
        <v>226</v>
      </c>
      <c r="Q11" s="78"/>
      <c r="R11" s="71">
        <v>46256.0</v>
      </c>
      <c r="S11" s="58" t="s">
        <v>230</v>
      </c>
    </row>
    <row r="12" ht="24.0" customHeight="1">
      <c r="A12" s="58" t="s">
        <v>221</v>
      </c>
      <c r="B12" s="58" t="s">
        <v>233</v>
      </c>
      <c r="C12" s="58" t="s">
        <v>235</v>
      </c>
      <c r="D12" s="59" t="s">
        <v>110</v>
      </c>
      <c r="E12" s="59" t="s">
        <v>123</v>
      </c>
      <c r="F12" s="58" t="s">
        <v>139</v>
      </c>
      <c r="G12" s="59" t="s">
        <v>113</v>
      </c>
      <c r="H12" s="59">
        <v>4.0</v>
      </c>
      <c r="I12" s="59">
        <v>4.0</v>
      </c>
      <c r="J12" s="59">
        <v>5.0</v>
      </c>
      <c r="K12" s="59">
        <v>2.0</v>
      </c>
      <c r="L12" s="59">
        <v>2.0</v>
      </c>
      <c r="M12" s="59">
        <v>4.0</v>
      </c>
      <c r="N12" s="66">
        <f>IF(A12="","",IF(COUNT(I12:M12)&lt;5,"",ROUND(SUMPRODUCT(I12:M12,Setup!$A$12:$E$12)/5,0)))</f>
        <v>70</v>
      </c>
      <c r="O12" s="74" t="str">
        <f>IF(A12="","",IF(COUNTIFS(Deadlines!$D$6:$D$205,A12,Deadlines!$H$6:$H$205,"&lt;&gt;Completed",Deadlines!$G$6:$G$205,"&lt;&gt;")=0,"",MINIFS(Deadlines!$G$6:$G$205,Deadlines!$D$6:$D$205,A12,Deadlines!$H$6:$H$205,"&lt;&gt;Completed")))</f>
        <v/>
      </c>
      <c r="P12" s="70" t="s">
        <v>244</v>
      </c>
      <c r="Q12" s="78"/>
      <c r="R12" s="71">
        <v>46256.0</v>
      </c>
      <c r="S12" s="58" t="s">
        <v>251</v>
      </c>
    </row>
    <row r="13" ht="24.0" customHeight="1">
      <c r="A13" s="58" t="s">
        <v>231</v>
      </c>
      <c r="B13" s="58" t="s">
        <v>261</v>
      </c>
      <c r="C13" s="58" t="s">
        <v>189</v>
      </c>
      <c r="D13" s="59" t="s">
        <v>110</v>
      </c>
      <c r="E13" s="59" t="s">
        <v>123</v>
      </c>
      <c r="F13" s="58" t="s">
        <v>139</v>
      </c>
      <c r="G13" s="59" t="s">
        <v>113</v>
      </c>
      <c r="H13" s="59">
        <v>3.0</v>
      </c>
      <c r="I13" s="59">
        <v>4.0</v>
      </c>
      <c r="J13" s="59">
        <v>4.0</v>
      </c>
      <c r="K13" s="59">
        <v>2.0</v>
      </c>
      <c r="L13" s="59">
        <v>3.0</v>
      </c>
      <c r="M13" s="59">
        <v>4.0</v>
      </c>
      <c r="N13" s="66">
        <f>IF(A13="","",IF(COUNT(I13:M13)&lt;5,"",ROUND(SUMPRODUCT(I13:M13,Setup!$A$12:$E$12)/5,0)))</f>
        <v>67</v>
      </c>
      <c r="O13" s="74" t="str">
        <f>IF(A13="","",IF(COUNTIFS(Deadlines!$D$6:$D$205,A13,Deadlines!$H$6:$H$205,"&lt;&gt;Completed",Deadlines!$G$6:$G$205,"&lt;&gt;")=0,"",MINIFS(Deadlines!$G$6:$G$205,Deadlines!$D$6:$D$205,A13,Deadlines!$H$6:$H$205,"&lt;&gt;Completed")))</f>
        <v/>
      </c>
      <c r="P13" s="70" t="s">
        <v>263</v>
      </c>
      <c r="Q13" s="78"/>
      <c r="R13" s="71">
        <v>46256.0</v>
      </c>
      <c r="S13" s="58" t="s">
        <v>265</v>
      </c>
    </row>
    <row r="14" ht="24.0" customHeight="1">
      <c r="A14" s="58" t="s">
        <v>259</v>
      </c>
      <c r="B14" s="58" t="s">
        <v>257</v>
      </c>
      <c r="C14" s="58" t="s">
        <v>267</v>
      </c>
      <c r="D14" s="59" t="s">
        <v>110</v>
      </c>
      <c r="E14" s="59" t="s">
        <v>92</v>
      </c>
      <c r="F14" s="58" t="s">
        <v>112</v>
      </c>
      <c r="G14" s="59" t="s">
        <v>113</v>
      </c>
      <c r="H14" s="59">
        <v>5.0</v>
      </c>
      <c r="I14" s="59">
        <v>5.0</v>
      </c>
      <c r="J14" s="59">
        <v>5.0</v>
      </c>
      <c r="K14" s="59">
        <v>5.0</v>
      </c>
      <c r="L14" s="59">
        <v>2.0</v>
      </c>
      <c r="M14" s="59">
        <v>5.0</v>
      </c>
      <c r="N14" s="66">
        <f>IF(A14="","",IF(COUNT(I14:M14)&lt;5,"",ROUND(SUMPRODUCT(I14:M14,Setup!$A$12:$E$12)/5,0)))</f>
        <v>91</v>
      </c>
      <c r="O14" s="74" t="str">
        <f>IF(A14="","",IF(COUNTIFS(Deadlines!$D$6:$D$205,A14,Deadlines!$H$6:$H$205,"&lt;&gt;Completed",Deadlines!$G$6:$G$205,"&lt;&gt;")=0,"",MINIFS(Deadlines!$G$6:$G$205,Deadlines!$D$6:$D$205,A14,Deadlines!$H$6:$H$205,"&lt;&gt;Completed")))</f>
        <v/>
      </c>
      <c r="P14" s="70" t="s">
        <v>273</v>
      </c>
      <c r="Q14" s="78"/>
      <c r="R14" s="71">
        <v>46256.0</v>
      </c>
      <c r="S14" s="58" t="s">
        <v>275</v>
      </c>
    </row>
    <row r="15" ht="24.0" customHeight="1">
      <c r="A15" s="58" t="s">
        <v>277</v>
      </c>
      <c r="B15" s="58" t="s">
        <v>278</v>
      </c>
      <c r="C15" s="58" t="s">
        <v>174</v>
      </c>
      <c r="D15" s="59" t="s">
        <v>110</v>
      </c>
      <c r="E15" s="59" t="s">
        <v>123</v>
      </c>
      <c r="F15" s="58" t="s">
        <v>139</v>
      </c>
      <c r="G15" s="59" t="s">
        <v>113</v>
      </c>
      <c r="H15" s="59">
        <v>4.0</v>
      </c>
      <c r="I15" s="59">
        <v>5.0</v>
      </c>
      <c r="J15" s="59">
        <v>5.0</v>
      </c>
      <c r="K15" s="59">
        <v>2.0</v>
      </c>
      <c r="L15" s="59">
        <v>2.0</v>
      </c>
      <c r="M15" s="59">
        <v>4.0</v>
      </c>
      <c r="N15" s="66">
        <f>IF(A15="","",IF(COUNT(I15:M15)&lt;5,"",ROUND(SUMPRODUCT(I15:M15,Setup!$A$12:$E$12)/5,0)))</f>
        <v>74</v>
      </c>
      <c r="O15" s="74" t="str">
        <f>IF(A15="","",IF(COUNTIFS(Deadlines!$D$6:$D$205,A15,Deadlines!$H$6:$H$205,"&lt;&gt;Completed",Deadlines!$G$6:$G$205,"&lt;&gt;")=0,"",MINIFS(Deadlines!$G$6:$G$205,Deadlines!$D$6:$D$205,A15,Deadlines!$H$6:$H$205,"&lt;&gt;Completed")))</f>
        <v/>
      </c>
      <c r="P15" s="70" t="s">
        <v>279</v>
      </c>
      <c r="Q15" s="78"/>
      <c r="R15" s="71">
        <v>46256.0</v>
      </c>
      <c r="S15" s="58" t="s">
        <v>280</v>
      </c>
    </row>
    <row r="16" ht="24.0" customHeight="1">
      <c r="A16" s="58" t="s">
        <v>284</v>
      </c>
      <c r="B16" s="58" t="s">
        <v>286</v>
      </c>
      <c r="C16" s="58" t="s">
        <v>287</v>
      </c>
      <c r="D16" s="59" t="s">
        <v>110</v>
      </c>
      <c r="E16" s="59" t="s">
        <v>123</v>
      </c>
      <c r="F16" s="58" t="s">
        <v>139</v>
      </c>
      <c r="G16" s="59" t="s">
        <v>113</v>
      </c>
      <c r="H16" s="59">
        <v>3.0</v>
      </c>
      <c r="I16" s="59">
        <v>4.0</v>
      </c>
      <c r="J16" s="59">
        <v>5.0</v>
      </c>
      <c r="K16" s="59">
        <v>2.0</v>
      </c>
      <c r="L16" s="59">
        <v>2.0</v>
      </c>
      <c r="M16" s="59">
        <v>4.0</v>
      </c>
      <c r="N16" s="66">
        <f>IF(A16="","",IF(COUNT(I16:M16)&lt;5,"",ROUND(SUMPRODUCT(I16:M16,Setup!$A$12:$E$12)/5,0)))</f>
        <v>70</v>
      </c>
      <c r="O16" s="74" t="str">
        <f>IF(A16="","",IF(COUNTIFS(Deadlines!$D$6:$D$205,A16,Deadlines!$H$6:$H$205,"&lt;&gt;Completed",Deadlines!$G$6:$G$205,"&lt;&gt;")=0,"",MINIFS(Deadlines!$G$6:$G$205,Deadlines!$D$6:$D$205,A16,Deadlines!$H$6:$H$205,"&lt;&gt;Completed")))</f>
        <v/>
      </c>
      <c r="P16" s="70" t="s">
        <v>290</v>
      </c>
      <c r="Q16" s="78"/>
      <c r="R16" s="71">
        <v>46256.0</v>
      </c>
      <c r="S16" s="58" t="s">
        <v>295</v>
      </c>
    </row>
    <row r="17" ht="24.0" customHeight="1">
      <c r="A17" s="58" t="s">
        <v>298</v>
      </c>
      <c r="B17" s="58" t="s">
        <v>299</v>
      </c>
      <c r="C17" s="58" t="s">
        <v>300</v>
      </c>
      <c r="D17" s="59" t="s">
        <v>110</v>
      </c>
      <c r="E17" s="59" t="s">
        <v>92</v>
      </c>
      <c r="F17" s="58" t="s">
        <v>112</v>
      </c>
      <c r="G17" s="59" t="s">
        <v>113</v>
      </c>
      <c r="H17" s="59">
        <v>3.0</v>
      </c>
      <c r="I17" s="59">
        <v>5.0</v>
      </c>
      <c r="J17" s="59">
        <v>5.0</v>
      </c>
      <c r="K17" s="59">
        <v>4.0</v>
      </c>
      <c r="L17" s="59">
        <v>1.0</v>
      </c>
      <c r="M17" s="59">
        <v>5.0</v>
      </c>
      <c r="N17" s="66">
        <f>IF(A17="","",IF(COUNT(I17:M17)&lt;5,"",ROUND(SUMPRODUCT(I17:M17,Setup!$A$12:$E$12)/5,0)))</f>
        <v>83</v>
      </c>
      <c r="O17" s="74" t="str">
        <f>IF(A17="","",IF(COUNTIFS(Deadlines!$D$6:$D$205,A17,Deadlines!$H$6:$H$205,"&lt;&gt;Completed",Deadlines!$G$6:$G$205,"&lt;&gt;")=0,"",MINIFS(Deadlines!$G$6:$G$205,Deadlines!$D$6:$D$205,A17,Deadlines!$H$6:$H$205,"&lt;&gt;Completed")))</f>
        <v/>
      </c>
      <c r="P17" s="70" t="s">
        <v>303</v>
      </c>
      <c r="Q17" s="78"/>
      <c r="R17" s="71">
        <v>46256.0</v>
      </c>
      <c r="S17" s="58" t="s">
        <v>305</v>
      </c>
    </row>
    <row r="18" ht="24.0" customHeight="1">
      <c r="A18" s="78"/>
      <c r="B18" s="78"/>
      <c r="C18" s="78"/>
      <c r="D18" s="99"/>
      <c r="E18" s="99"/>
      <c r="F18" s="78"/>
      <c r="G18" s="99"/>
      <c r="H18" s="99"/>
      <c r="I18" s="99"/>
      <c r="J18" s="99"/>
      <c r="K18" s="99"/>
      <c r="L18" s="99"/>
      <c r="M18" s="99"/>
      <c r="N18" s="66" t="str">
        <f>IF(A18="","",IF(COUNT(I18:M18)&lt;5,"",ROUND(SUMPRODUCT(I18:M18,Setup!$A$12:$E$12)/5,0)))</f>
        <v/>
      </c>
      <c r="O18" s="74" t="str">
        <f>IF(A18="","",IF(COUNTIFS(Deadlines!$D$6:$D$205,A18,Deadlines!$H$6:$H$205,"&lt;&gt;Completed",Deadlines!$G$6:$G$205,"&lt;&gt;")=0,"",MINIFS(Deadlines!$G$6:$G$205,Deadlines!$D$6:$D$205,A18,Deadlines!$H$6:$H$205,"&lt;&gt;Completed")))</f>
        <v/>
      </c>
      <c r="P18" s="78"/>
      <c r="Q18" s="78"/>
      <c r="R18" s="65"/>
      <c r="S18" s="78"/>
    </row>
    <row r="19" ht="24.0" customHeight="1">
      <c r="A19" s="78"/>
      <c r="B19" s="78"/>
      <c r="C19" s="78"/>
      <c r="D19" s="99"/>
      <c r="E19" s="99"/>
      <c r="F19" s="78"/>
      <c r="G19" s="99"/>
      <c r="H19" s="99"/>
      <c r="I19" s="99"/>
      <c r="J19" s="99"/>
      <c r="K19" s="99"/>
      <c r="L19" s="99"/>
      <c r="M19" s="99"/>
      <c r="N19" s="66" t="str">
        <f>IF(A19="","",IF(COUNT(I19:M19)&lt;5,"",ROUND(SUMPRODUCT(I19:M19,Setup!$A$12:$E$12)/5,0)))</f>
        <v/>
      </c>
      <c r="O19" s="74" t="str">
        <f>IF(A19="","",IF(COUNTIFS(Deadlines!$D$6:$D$205,A19,Deadlines!$H$6:$H$205,"&lt;&gt;Completed",Deadlines!$G$6:$G$205,"&lt;&gt;")=0,"",MINIFS(Deadlines!$G$6:$G$205,Deadlines!$D$6:$D$205,A19,Deadlines!$H$6:$H$205,"&lt;&gt;Completed")))</f>
        <v/>
      </c>
      <c r="P19" s="78"/>
      <c r="Q19" s="78"/>
      <c r="R19" s="65"/>
      <c r="S19" s="78"/>
    </row>
    <row r="20" ht="24.0" customHeight="1">
      <c r="A20" s="78"/>
      <c r="B20" s="78"/>
      <c r="C20" s="78"/>
      <c r="D20" s="99"/>
      <c r="E20" s="99"/>
      <c r="F20" s="78"/>
      <c r="G20" s="99"/>
      <c r="H20" s="99"/>
      <c r="I20" s="99"/>
      <c r="J20" s="99"/>
      <c r="K20" s="99"/>
      <c r="L20" s="99"/>
      <c r="M20" s="99"/>
      <c r="N20" s="66" t="str">
        <f>IF(A20="","",IF(COUNT(I20:M20)&lt;5,"",ROUND(SUMPRODUCT(I20:M20,Setup!$A$12:$E$12)/5,0)))</f>
        <v/>
      </c>
      <c r="O20" s="74" t="str">
        <f>IF(A20="","",IF(COUNTIFS(Deadlines!$D$6:$D$205,A20,Deadlines!$H$6:$H$205,"&lt;&gt;Completed",Deadlines!$G$6:$G$205,"&lt;&gt;")=0,"",MINIFS(Deadlines!$G$6:$G$205,Deadlines!$D$6:$D$205,A20,Deadlines!$H$6:$H$205,"&lt;&gt;Completed")))</f>
        <v/>
      </c>
      <c r="P20" s="78"/>
      <c r="Q20" s="78"/>
      <c r="R20" s="65"/>
      <c r="S20" s="78"/>
    </row>
    <row r="21" ht="24.0" customHeight="1">
      <c r="A21" s="78"/>
      <c r="B21" s="78"/>
      <c r="C21" s="78"/>
      <c r="D21" s="99"/>
      <c r="E21" s="99"/>
      <c r="F21" s="78"/>
      <c r="G21" s="99"/>
      <c r="H21" s="99"/>
      <c r="I21" s="99"/>
      <c r="J21" s="99"/>
      <c r="K21" s="99"/>
      <c r="L21" s="99"/>
      <c r="M21" s="99"/>
      <c r="N21" s="66" t="str">
        <f>IF(A21="","",IF(COUNT(I21:M21)&lt;5,"",ROUND(SUMPRODUCT(I21:M21,Setup!$A$12:$E$12)/5,0)))</f>
        <v/>
      </c>
      <c r="O21" s="74" t="str">
        <f>IF(A21="","",IF(COUNTIFS(Deadlines!$D$6:$D$205,A21,Deadlines!$H$6:$H$205,"&lt;&gt;Completed",Deadlines!$G$6:$G$205,"&lt;&gt;")=0,"",MINIFS(Deadlines!$G$6:$G$205,Deadlines!$D$6:$D$205,A21,Deadlines!$H$6:$H$205,"&lt;&gt;Completed")))</f>
        <v/>
      </c>
      <c r="P21" s="78"/>
      <c r="Q21" s="78"/>
      <c r="R21" s="65"/>
      <c r="S21" s="78"/>
    </row>
    <row r="22" ht="24.0" customHeight="1">
      <c r="A22" s="78"/>
      <c r="B22" s="78"/>
      <c r="C22" s="78"/>
      <c r="D22" s="99"/>
      <c r="E22" s="99"/>
      <c r="F22" s="78"/>
      <c r="G22" s="99"/>
      <c r="H22" s="99"/>
      <c r="I22" s="99"/>
      <c r="J22" s="99"/>
      <c r="K22" s="99"/>
      <c r="L22" s="99"/>
      <c r="M22" s="99"/>
      <c r="N22" s="66" t="str">
        <f>IF(A22="","",IF(COUNT(I22:M22)&lt;5,"",ROUND(SUMPRODUCT(I22:M22,Setup!$A$12:$E$12)/5,0)))</f>
        <v/>
      </c>
      <c r="O22" s="74" t="str">
        <f>IF(A22="","",IF(COUNTIFS(Deadlines!$D$6:$D$205,A22,Deadlines!$H$6:$H$205,"&lt;&gt;Completed",Deadlines!$G$6:$G$205,"&lt;&gt;")=0,"",MINIFS(Deadlines!$G$6:$G$205,Deadlines!$D$6:$D$205,A22,Deadlines!$H$6:$H$205,"&lt;&gt;Completed")))</f>
        <v/>
      </c>
      <c r="P22" s="78"/>
      <c r="Q22" s="78"/>
      <c r="R22" s="65"/>
      <c r="S22" s="78"/>
    </row>
    <row r="23" ht="24.0" customHeight="1">
      <c r="A23" s="78"/>
      <c r="B23" s="78"/>
      <c r="C23" s="78"/>
      <c r="D23" s="99"/>
      <c r="E23" s="99"/>
      <c r="F23" s="78"/>
      <c r="G23" s="99"/>
      <c r="H23" s="99"/>
      <c r="I23" s="99"/>
      <c r="J23" s="99"/>
      <c r="K23" s="99"/>
      <c r="L23" s="99"/>
      <c r="M23" s="99"/>
      <c r="N23" s="66" t="str">
        <f>IF(A23="","",IF(COUNT(I23:M23)&lt;5,"",ROUND(SUMPRODUCT(I23:M23,Setup!$A$12:$E$12)/5,0)))</f>
        <v/>
      </c>
      <c r="O23" s="74" t="str">
        <f>IF(A23="","",IF(COUNTIFS(Deadlines!$D$6:$D$205,A23,Deadlines!$H$6:$H$205,"&lt;&gt;Completed",Deadlines!$G$6:$G$205,"&lt;&gt;")=0,"",MINIFS(Deadlines!$G$6:$G$205,Deadlines!$D$6:$D$205,A23,Deadlines!$H$6:$H$205,"&lt;&gt;Completed")))</f>
        <v/>
      </c>
      <c r="P23" s="78"/>
      <c r="Q23" s="78"/>
      <c r="R23" s="65"/>
      <c r="S23" s="78"/>
    </row>
    <row r="24" ht="24.0" customHeight="1">
      <c r="A24" s="78"/>
      <c r="B24" s="78"/>
      <c r="C24" s="78"/>
      <c r="D24" s="99"/>
      <c r="E24" s="99"/>
      <c r="F24" s="78"/>
      <c r="G24" s="99"/>
      <c r="H24" s="99"/>
      <c r="I24" s="99"/>
      <c r="J24" s="99"/>
      <c r="K24" s="99"/>
      <c r="L24" s="99"/>
      <c r="M24" s="99"/>
      <c r="N24" s="66" t="str">
        <f>IF(A24="","",IF(COUNT(I24:M24)&lt;5,"",ROUND(SUMPRODUCT(I24:M24,Setup!$A$12:$E$12)/5,0)))</f>
        <v/>
      </c>
      <c r="O24" s="74" t="str">
        <f>IF(A24="","",IF(COUNTIFS(Deadlines!$D$6:$D$205,A24,Deadlines!$H$6:$H$205,"&lt;&gt;Completed",Deadlines!$G$6:$G$205,"&lt;&gt;")=0,"",MINIFS(Deadlines!$G$6:$G$205,Deadlines!$D$6:$D$205,A24,Deadlines!$H$6:$H$205,"&lt;&gt;Completed")))</f>
        <v/>
      </c>
      <c r="P24" s="78"/>
      <c r="Q24" s="78"/>
      <c r="R24" s="65"/>
      <c r="S24" s="78"/>
    </row>
    <row r="25" ht="24.0" customHeight="1">
      <c r="A25" s="78"/>
      <c r="B25" s="78"/>
      <c r="C25" s="78"/>
      <c r="D25" s="99"/>
      <c r="E25" s="99"/>
      <c r="F25" s="78"/>
      <c r="G25" s="99"/>
      <c r="H25" s="99"/>
      <c r="I25" s="99"/>
      <c r="J25" s="99"/>
      <c r="K25" s="99"/>
      <c r="L25" s="99"/>
      <c r="M25" s="99"/>
      <c r="N25" s="66" t="str">
        <f>IF(A25="","",IF(COUNT(I25:M25)&lt;5,"",ROUND(SUMPRODUCT(I25:M25,Setup!$A$12:$E$12)/5,0)))</f>
        <v/>
      </c>
      <c r="O25" s="74" t="str">
        <f>IF(A25="","",IF(COUNTIFS(Deadlines!$D$6:$D$205,A25,Deadlines!$H$6:$H$205,"&lt;&gt;Completed",Deadlines!$G$6:$G$205,"&lt;&gt;")=0,"",MINIFS(Deadlines!$G$6:$G$205,Deadlines!$D$6:$D$205,A25,Deadlines!$H$6:$H$205,"&lt;&gt;Completed")))</f>
        <v/>
      </c>
      <c r="P25" s="78"/>
      <c r="Q25" s="78"/>
      <c r="R25" s="65"/>
      <c r="S25" s="78"/>
    </row>
    <row r="26" ht="24.0" customHeight="1">
      <c r="A26" s="78"/>
      <c r="B26" s="78"/>
      <c r="C26" s="78"/>
      <c r="D26" s="99"/>
      <c r="E26" s="99"/>
      <c r="F26" s="78"/>
      <c r="G26" s="99"/>
      <c r="H26" s="99"/>
      <c r="I26" s="99"/>
      <c r="J26" s="99"/>
      <c r="K26" s="99"/>
      <c r="L26" s="99"/>
      <c r="M26" s="99"/>
      <c r="N26" s="66" t="str">
        <f>IF(A26="","",IF(COUNT(I26:M26)&lt;5,"",ROUND(SUMPRODUCT(I26:M26,Setup!$A$12:$E$12)/5,0)))</f>
        <v/>
      </c>
      <c r="O26" s="74" t="str">
        <f>IF(A26="","",IF(COUNTIFS(Deadlines!$D$6:$D$205,A26,Deadlines!$H$6:$H$205,"&lt;&gt;Completed",Deadlines!$G$6:$G$205,"&lt;&gt;")=0,"",MINIFS(Deadlines!$G$6:$G$205,Deadlines!$D$6:$D$205,A26,Deadlines!$H$6:$H$205,"&lt;&gt;Completed")))</f>
        <v/>
      </c>
      <c r="P26" s="78"/>
      <c r="Q26" s="78"/>
      <c r="R26" s="65"/>
      <c r="S26" s="78"/>
    </row>
    <row r="27" ht="24.0" customHeight="1">
      <c r="A27" s="78"/>
      <c r="B27" s="78"/>
      <c r="C27" s="78"/>
      <c r="D27" s="99"/>
      <c r="E27" s="99"/>
      <c r="F27" s="78"/>
      <c r="G27" s="99"/>
      <c r="H27" s="99"/>
      <c r="I27" s="99"/>
      <c r="J27" s="99"/>
      <c r="K27" s="99"/>
      <c r="L27" s="99"/>
      <c r="M27" s="99"/>
      <c r="N27" s="66" t="str">
        <f>IF(A27="","",IF(COUNT(I27:M27)&lt;5,"",ROUND(SUMPRODUCT(I27:M27,Setup!$A$12:$E$12)/5,0)))</f>
        <v/>
      </c>
      <c r="O27" s="74" t="str">
        <f>IF(A27="","",IF(COUNTIFS(Deadlines!$D$6:$D$205,A27,Deadlines!$H$6:$H$205,"&lt;&gt;Completed",Deadlines!$G$6:$G$205,"&lt;&gt;")=0,"",MINIFS(Deadlines!$G$6:$G$205,Deadlines!$D$6:$D$205,A27,Deadlines!$H$6:$H$205,"&lt;&gt;Completed")))</f>
        <v/>
      </c>
      <c r="P27" s="78"/>
      <c r="Q27" s="78"/>
      <c r="R27" s="65"/>
      <c r="S27" s="78"/>
    </row>
    <row r="28" ht="24.0" customHeight="1">
      <c r="A28" s="78"/>
      <c r="B28" s="78"/>
      <c r="C28" s="78"/>
      <c r="D28" s="99"/>
      <c r="E28" s="99"/>
      <c r="F28" s="78"/>
      <c r="G28" s="99"/>
      <c r="H28" s="99"/>
      <c r="I28" s="99"/>
      <c r="J28" s="99"/>
      <c r="K28" s="99"/>
      <c r="L28" s="99"/>
      <c r="M28" s="99"/>
      <c r="N28" s="66" t="str">
        <f>IF(A28="","",IF(COUNT(I28:M28)&lt;5,"",ROUND(SUMPRODUCT(I28:M28,Setup!$A$12:$E$12)/5,0)))</f>
        <v/>
      </c>
      <c r="O28" s="74" t="str">
        <f>IF(A28="","",IF(COUNTIFS(Deadlines!$D$6:$D$205,A28,Deadlines!$H$6:$H$205,"&lt;&gt;Completed",Deadlines!$G$6:$G$205,"&lt;&gt;")=0,"",MINIFS(Deadlines!$G$6:$G$205,Deadlines!$D$6:$D$205,A28,Deadlines!$H$6:$H$205,"&lt;&gt;Completed")))</f>
        <v/>
      </c>
      <c r="P28" s="78"/>
      <c r="Q28" s="78"/>
      <c r="R28" s="65"/>
      <c r="S28" s="78"/>
    </row>
    <row r="29" ht="24.0" customHeight="1">
      <c r="A29" s="78"/>
      <c r="B29" s="78"/>
      <c r="C29" s="78"/>
      <c r="D29" s="99"/>
      <c r="E29" s="99"/>
      <c r="F29" s="78"/>
      <c r="G29" s="99"/>
      <c r="H29" s="99"/>
      <c r="I29" s="99"/>
      <c r="J29" s="99"/>
      <c r="K29" s="99"/>
      <c r="L29" s="99"/>
      <c r="M29" s="99"/>
      <c r="N29" s="66" t="str">
        <f>IF(A29="","",IF(COUNT(I29:M29)&lt;5,"",ROUND(SUMPRODUCT(I29:M29,Setup!$A$12:$E$12)/5,0)))</f>
        <v/>
      </c>
      <c r="O29" s="74" t="str">
        <f>IF(A29="","",IF(COUNTIFS(Deadlines!$D$6:$D$205,A29,Deadlines!$H$6:$H$205,"&lt;&gt;Completed",Deadlines!$G$6:$G$205,"&lt;&gt;")=0,"",MINIFS(Deadlines!$G$6:$G$205,Deadlines!$D$6:$D$205,A29,Deadlines!$H$6:$H$205,"&lt;&gt;Completed")))</f>
        <v/>
      </c>
      <c r="P29" s="78"/>
      <c r="Q29" s="78"/>
      <c r="R29" s="65"/>
      <c r="S29" s="78"/>
    </row>
    <row r="30" ht="24.0" customHeight="1">
      <c r="A30" s="78"/>
      <c r="B30" s="78"/>
      <c r="C30" s="78"/>
      <c r="D30" s="99"/>
      <c r="E30" s="99"/>
      <c r="F30" s="78"/>
      <c r="G30" s="99"/>
      <c r="H30" s="99"/>
      <c r="I30" s="99"/>
      <c r="J30" s="99"/>
      <c r="K30" s="99"/>
      <c r="L30" s="99"/>
      <c r="M30" s="99"/>
      <c r="N30" s="66" t="str">
        <f>IF(A30="","",IF(COUNT(I30:M30)&lt;5,"",ROUND(SUMPRODUCT(I30:M30,Setup!$A$12:$E$12)/5,0)))</f>
        <v/>
      </c>
      <c r="O30" s="74" t="str">
        <f>IF(A30="","",IF(COUNTIFS(Deadlines!$D$6:$D$205,A30,Deadlines!$H$6:$H$205,"&lt;&gt;Completed",Deadlines!$G$6:$G$205,"&lt;&gt;")=0,"",MINIFS(Deadlines!$G$6:$G$205,Deadlines!$D$6:$D$205,A30,Deadlines!$H$6:$H$205,"&lt;&gt;Completed")))</f>
        <v/>
      </c>
      <c r="P30" s="78"/>
      <c r="Q30" s="78"/>
      <c r="R30" s="65"/>
      <c r="S30" s="78"/>
    </row>
    <row r="31" ht="24.0" customHeight="1">
      <c r="A31" s="78"/>
      <c r="B31" s="78"/>
      <c r="C31" s="78"/>
      <c r="D31" s="99"/>
      <c r="E31" s="99"/>
      <c r="F31" s="78"/>
      <c r="G31" s="99"/>
      <c r="H31" s="99"/>
      <c r="I31" s="99"/>
      <c r="J31" s="99"/>
      <c r="K31" s="99"/>
      <c r="L31" s="99"/>
      <c r="M31" s="99"/>
      <c r="N31" s="66" t="str">
        <f>IF(A31="","",IF(COUNT(I31:M31)&lt;5,"",ROUND(SUMPRODUCT(I31:M31,Setup!$A$12:$E$12)/5,0)))</f>
        <v/>
      </c>
      <c r="O31" s="74" t="str">
        <f>IF(A31="","",IF(COUNTIFS(Deadlines!$D$6:$D$205,A31,Deadlines!$H$6:$H$205,"&lt;&gt;Completed",Deadlines!$G$6:$G$205,"&lt;&gt;")=0,"",MINIFS(Deadlines!$G$6:$G$205,Deadlines!$D$6:$D$205,A31,Deadlines!$H$6:$H$205,"&lt;&gt;Completed")))</f>
        <v/>
      </c>
      <c r="P31" s="78"/>
      <c r="Q31" s="78"/>
      <c r="R31" s="65"/>
      <c r="S31" s="78"/>
    </row>
    <row r="32" ht="24.0" customHeight="1">
      <c r="A32" s="78"/>
      <c r="B32" s="78"/>
      <c r="C32" s="78"/>
      <c r="D32" s="99"/>
      <c r="E32" s="99"/>
      <c r="F32" s="78"/>
      <c r="G32" s="99"/>
      <c r="H32" s="99"/>
      <c r="I32" s="99"/>
      <c r="J32" s="99"/>
      <c r="K32" s="99"/>
      <c r="L32" s="99"/>
      <c r="M32" s="99"/>
      <c r="N32" s="66" t="str">
        <f>IF(A32="","",IF(COUNT(I32:M32)&lt;5,"",ROUND(SUMPRODUCT(I32:M32,Setup!$A$12:$E$12)/5,0)))</f>
        <v/>
      </c>
      <c r="O32" s="74" t="str">
        <f>IF(A32="","",IF(COUNTIFS(Deadlines!$D$6:$D$205,A32,Deadlines!$H$6:$H$205,"&lt;&gt;Completed",Deadlines!$G$6:$G$205,"&lt;&gt;")=0,"",MINIFS(Deadlines!$G$6:$G$205,Deadlines!$D$6:$D$205,A32,Deadlines!$H$6:$H$205,"&lt;&gt;Completed")))</f>
        <v/>
      </c>
      <c r="P32" s="78"/>
      <c r="Q32" s="78"/>
      <c r="R32" s="65"/>
      <c r="S32" s="78"/>
    </row>
    <row r="33" ht="24.0" customHeight="1">
      <c r="A33" s="78"/>
      <c r="B33" s="78"/>
      <c r="C33" s="78"/>
      <c r="D33" s="99"/>
      <c r="E33" s="99"/>
      <c r="F33" s="78"/>
      <c r="G33" s="99"/>
      <c r="H33" s="99"/>
      <c r="I33" s="99"/>
      <c r="J33" s="99"/>
      <c r="K33" s="99"/>
      <c r="L33" s="99"/>
      <c r="M33" s="99"/>
      <c r="N33" s="66" t="str">
        <f>IF(A33="","",IF(COUNT(I33:M33)&lt;5,"",ROUND(SUMPRODUCT(I33:M33,Setup!$A$12:$E$12)/5,0)))</f>
        <v/>
      </c>
      <c r="O33" s="74" t="str">
        <f>IF(A33="","",IF(COUNTIFS(Deadlines!$D$6:$D$205,A33,Deadlines!$H$6:$H$205,"&lt;&gt;Completed",Deadlines!$G$6:$G$205,"&lt;&gt;")=0,"",MINIFS(Deadlines!$G$6:$G$205,Deadlines!$D$6:$D$205,A33,Deadlines!$H$6:$H$205,"&lt;&gt;Completed")))</f>
        <v/>
      </c>
      <c r="P33" s="78"/>
      <c r="Q33" s="78"/>
      <c r="R33" s="65"/>
      <c r="S33" s="78"/>
    </row>
    <row r="34" ht="24.0" customHeight="1">
      <c r="A34" s="78"/>
      <c r="B34" s="78"/>
      <c r="C34" s="78"/>
      <c r="D34" s="99"/>
      <c r="E34" s="99"/>
      <c r="F34" s="78"/>
      <c r="G34" s="99"/>
      <c r="H34" s="99"/>
      <c r="I34" s="99"/>
      <c r="J34" s="99"/>
      <c r="K34" s="99"/>
      <c r="L34" s="99"/>
      <c r="M34" s="99"/>
      <c r="N34" s="66" t="str">
        <f>IF(A34="","",IF(COUNT(I34:M34)&lt;5,"",ROUND(SUMPRODUCT(I34:M34,Setup!$A$12:$E$12)/5,0)))</f>
        <v/>
      </c>
      <c r="O34" s="74" t="str">
        <f>IF(A34="","",IF(COUNTIFS(Deadlines!$D$6:$D$205,A34,Deadlines!$H$6:$H$205,"&lt;&gt;Completed",Deadlines!$G$6:$G$205,"&lt;&gt;")=0,"",MINIFS(Deadlines!$G$6:$G$205,Deadlines!$D$6:$D$205,A34,Deadlines!$H$6:$H$205,"&lt;&gt;Completed")))</f>
        <v/>
      </c>
      <c r="P34" s="78"/>
      <c r="Q34" s="78"/>
      <c r="R34" s="65"/>
      <c r="S34" s="78"/>
    </row>
    <row r="35" ht="24.0" customHeight="1">
      <c r="A35" s="78"/>
      <c r="B35" s="78"/>
      <c r="C35" s="78"/>
      <c r="D35" s="99"/>
      <c r="E35" s="99"/>
      <c r="F35" s="78"/>
      <c r="G35" s="99"/>
      <c r="H35" s="99"/>
      <c r="I35" s="99"/>
      <c r="J35" s="99"/>
      <c r="K35" s="99"/>
      <c r="L35" s="99"/>
      <c r="M35" s="99"/>
      <c r="N35" s="66" t="str">
        <f>IF(A35="","",IF(COUNT(I35:M35)&lt;5,"",ROUND(SUMPRODUCT(I35:M35,Setup!$A$12:$E$12)/5,0)))</f>
        <v/>
      </c>
      <c r="O35" s="74" t="str">
        <f>IF(A35="","",IF(COUNTIFS(Deadlines!$D$6:$D$205,A35,Deadlines!$H$6:$H$205,"&lt;&gt;Completed",Deadlines!$G$6:$G$205,"&lt;&gt;")=0,"",MINIFS(Deadlines!$G$6:$G$205,Deadlines!$D$6:$D$205,A35,Deadlines!$H$6:$H$205,"&lt;&gt;Completed")))</f>
        <v/>
      </c>
      <c r="P35" s="78"/>
      <c r="Q35" s="78"/>
      <c r="R35" s="65"/>
      <c r="S35" s="78"/>
    </row>
    <row r="36" ht="24.0" customHeight="1">
      <c r="A36" s="78"/>
      <c r="B36" s="78"/>
      <c r="C36" s="78"/>
      <c r="D36" s="99"/>
      <c r="E36" s="99"/>
      <c r="F36" s="78"/>
      <c r="G36" s="99"/>
      <c r="H36" s="99"/>
      <c r="I36" s="99"/>
      <c r="J36" s="99"/>
      <c r="K36" s="99"/>
      <c r="L36" s="99"/>
      <c r="M36" s="99"/>
      <c r="N36" s="66" t="str">
        <f>IF(A36="","",IF(COUNT(I36:M36)&lt;5,"",ROUND(SUMPRODUCT(I36:M36,Setup!$A$12:$E$12)/5,0)))</f>
        <v/>
      </c>
      <c r="O36" s="74" t="str">
        <f>IF(A36="","",IF(COUNTIFS(Deadlines!$D$6:$D$205,A36,Deadlines!$H$6:$H$205,"&lt;&gt;Completed",Deadlines!$G$6:$G$205,"&lt;&gt;")=0,"",MINIFS(Deadlines!$G$6:$G$205,Deadlines!$D$6:$D$205,A36,Deadlines!$H$6:$H$205,"&lt;&gt;Completed")))</f>
        <v/>
      </c>
      <c r="P36" s="78"/>
      <c r="Q36" s="78"/>
      <c r="R36" s="65"/>
      <c r="S36" s="78"/>
    </row>
    <row r="37" ht="24.0" customHeight="1">
      <c r="A37" s="78"/>
      <c r="B37" s="78"/>
      <c r="C37" s="78"/>
      <c r="D37" s="99"/>
      <c r="E37" s="99"/>
      <c r="F37" s="78"/>
      <c r="G37" s="99"/>
      <c r="H37" s="99"/>
      <c r="I37" s="99"/>
      <c r="J37" s="99"/>
      <c r="K37" s="99"/>
      <c r="L37" s="99"/>
      <c r="M37" s="99"/>
      <c r="N37" s="66" t="str">
        <f>IF(A37="","",IF(COUNT(I37:M37)&lt;5,"",ROUND(SUMPRODUCT(I37:M37,Setup!$A$12:$E$12)/5,0)))</f>
        <v/>
      </c>
      <c r="O37" s="74" t="str">
        <f>IF(A37="","",IF(COUNTIFS(Deadlines!$D$6:$D$205,A37,Deadlines!$H$6:$H$205,"&lt;&gt;Completed",Deadlines!$G$6:$G$205,"&lt;&gt;")=0,"",MINIFS(Deadlines!$G$6:$G$205,Deadlines!$D$6:$D$205,A37,Deadlines!$H$6:$H$205,"&lt;&gt;Completed")))</f>
        <v/>
      </c>
      <c r="P37" s="78"/>
      <c r="Q37" s="78"/>
      <c r="R37" s="65"/>
      <c r="S37" s="78"/>
    </row>
    <row r="38" ht="24.0" customHeight="1">
      <c r="A38" s="78"/>
      <c r="B38" s="78"/>
      <c r="C38" s="78"/>
      <c r="D38" s="99"/>
      <c r="E38" s="99"/>
      <c r="F38" s="78"/>
      <c r="G38" s="99"/>
      <c r="H38" s="99"/>
      <c r="I38" s="99"/>
      <c r="J38" s="99"/>
      <c r="K38" s="99"/>
      <c r="L38" s="99"/>
      <c r="M38" s="99"/>
      <c r="N38" s="66" t="str">
        <f>IF(A38="","",IF(COUNT(I38:M38)&lt;5,"",ROUND(SUMPRODUCT(I38:M38,Setup!$A$12:$E$12)/5,0)))</f>
        <v/>
      </c>
      <c r="O38" s="74" t="str">
        <f>IF(A38="","",IF(COUNTIFS(Deadlines!$D$6:$D$205,A38,Deadlines!$H$6:$H$205,"&lt;&gt;Completed",Deadlines!$G$6:$G$205,"&lt;&gt;")=0,"",MINIFS(Deadlines!$G$6:$G$205,Deadlines!$D$6:$D$205,A38,Deadlines!$H$6:$H$205,"&lt;&gt;Completed")))</f>
        <v/>
      </c>
      <c r="P38" s="78"/>
      <c r="Q38" s="78"/>
      <c r="R38" s="65"/>
      <c r="S38" s="78"/>
    </row>
    <row r="39" ht="24.0" customHeight="1">
      <c r="A39" s="78"/>
      <c r="B39" s="78"/>
      <c r="C39" s="78"/>
      <c r="D39" s="99"/>
      <c r="E39" s="99"/>
      <c r="F39" s="78"/>
      <c r="G39" s="99"/>
      <c r="H39" s="99"/>
      <c r="I39" s="99"/>
      <c r="J39" s="99"/>
      <c r="K39" s="99"/>
      <c r="L39" s="99"/>
      <c r="M39" s="99"/>
      <c r="N39" s="66" t="str">
        <f>IF(A39="","",IF(COUNT(I39:M39)&lt;5,"",ROUND(SUMPRODUCT(I39:M39,Setup!$A$12:$E$12)/5,0)))</f>
        <v/>
      </c>
      <c r="O39" s="74" t="str">
        <f>IF(A39="","",IF(COUNTIFS(Deadlines!$D$6:$D$205,A39,Deadlines!$H$6:$H$205,"&lt;&gt;Completed",Deadlines!$G$6:$G$205,"&lt;&gt;")=0,"",MINIFS(Deadlines!$G$6:$G$205,Deadlines!$D$6:$D$205,A39,Deadlines!$H$6:$H$205,"&lt;&gt;Completed")))</f>
        <v/>
      </c>
      <c r="P39" s="78"/>
      <c r="Q39" s="78"/>
      <c r="R39" s="65"/>
      <c r="S39" s="78"/>
    </row>
    <row r="40" ht="24.0" customHeight="1">
      <c r="A40" s="78"/>
      <c r="B40" s="78"/>
      <c r="C40" s="78"/>
      <c r="D40" s="99"/>
      <c r="E40" s="99"/>
      <c r="F40" s="78"/>
      <c r="G40" s="99"/>
      <c r="H40" s="99"/>
      <c r="I40" s="99"/>
      <c r="J40" s="99"/>
      <c r="K40" s="99"/>
      <c r="L40" s="99"/>
      <c r="M40" s="99"/>
      <c r="N40" s="66" t="str">
        <f>IF(A40="","",IF(COUNT(I40:M40)&lt;5,"",ROUND(SUMPRODUCT(I40:M40,Setup!$A$12:$E$12)/5,0)))</f>
        <v/>
      </c>
      <c r="O40" s="74" t="str">
        <f>IF(A40="","",IF(COUNTIFS(Deadlines!$D$6:$D$205,A40,Deadlines!$H$6:$H$205,"&lt;&gt;Completed",Deadlines!$G$6:$G$205,"&lt;&gt;")=0,"",MINIFS(Deadlines!$G$6:$G$205,Deadlines!$D$6:$D$205,A40,Deadlines!$H$6:$H$205,"&lt;&gt;Completed")))</f>
        <v/>
      </c>
      <c r="P40" s="78"/>
      <c r="Q40" s="78"/>
      <c r="R40" s="65"/>
      <c r="S40" s="78"/>
    </row>
    <row r="41" ht="24.0" customHeight="1">
      <c r="A41" s="78"/>
      <c r="B41" s="78"/>
      <c r="C41" s="78"/>
      <c r="D41" s="99"/>
      <c r="E41" s="99"/>
      <c r="F41" s="78"/>
      <c r="G41" s="99"/>
      <c r="H41" s="99"/>
      <c r="I41" s="99"/>
      <c r="J41" s="99"/>
      <c r="K41" s="99"/>
      <c r="L41" s="99"/>
      <c r="M41" s="99"/>
      <c r="N41" s="66" t="str">
        <f>IF(A41="","",IF(COUNT(I41:M41)&lt;5,"",ROUND(SUMPRODUCT(I41:M41,Setup!$A$12:$E$12)/5,0)))</f>
        <v/>
      </c>
      <c r="O41" s="74" t="str">
        <f>IF(A41="","",IF(COUNTIFS(Deadlines!$D$6:$D$205,A41,Deadlines!$H$6:$H$205,"&lt;&gt;Completed",Deadlines!$G$6:$G$205,"&lt;&gt;")=0,"",MINIFS(Deadlines!$G$6:$G$205,Deadlines!$D$6:$D$205,A41,Deadlines!$H$6:$H$205,"&lt;&gt;Completed")))</f>
        <v/>
      </c>
      <c r="P41" s="78"/>
      <c r="Q41" s="78"/>
      <c r="R41" s="65"/>
      <c r="S41" s="78"/>
    </row>
    <row r="42" ht="24.0" customHeight="1">
      <c r="A42" s="78"/>
      <c r="B42" s="78"/>
      <c r="C42" s="78"/>
      <c r="D42" s="99"/>
      <c r="E42" s="99"/>
      <c r="F42" s="78"/>
      <c r="G42" s="99"/>
      <c r="H42" s="99"/>
      <c r="I42" s="99"/>
      <c r="J42" s="99"/>
      <c r="K42" s="99"/>
      <c r="L42" s="99"/>
      <c r="M42" s="99"/>
      <c r="N42" s="66" t="str">
        <f>IF(A42="","",IF(COUNT(I42:M42)&lt;5,"",ROUND(SUMPRODUCT(I42:M42,Setup!$A$12:$E$12)/5,0)))</f>
        <v/>
      </c>
      <c r="O42" s="74" t="str">
        <f>IF(A42="","",IF(COUNTIFS(Deadlines!$D$6:$D$205,A42,Deadlines!$H$6:$H$205,"&lt;&gt;Completed",Deadlines!$G$6:$G$205,"&lt;&gt;")=0,"",MINIFS(Deadlines!$G$6:$G$205,Deadlines!$D$6:$D$205,A42,Deadlines!$H$6:$H$205,"&lt;&gt;Completed")))</f>
        <v/>
      </c>
      <c r="P42" s="78"/>
      <c r="Q42" s="78"/>
      <c r="R42" s="65"/>
      <c r="S42" s="78"/>
    </row>
    <row r="43" ht="24.0" customHeight="1">
      <c r="A43" s="78"/>
      <c r="B43" s="78"/>
      <c r="C43" s="78"/>
      <c r="D43" s="99"/>
      <c r="E43" s="99"/>
      <c r="F43" s="78"/>
      <c r="G43" s="99"/>
      <c r="H43" s="99"/>
      <c r="I43" s="99"/>
      <c r="J43" s="99"/>
      <c r="K43" s="99"/>
      <c r="L43" s="99"/>
      <c r="M43" s="99"/>
      <c r="N43" s="66" t="str">
        <f>IF(A43="","",IF(COUNT(I43:M43)&lt;5,"",ROUND(SUMPRODUCT(I43:M43,Setup!$A$12:$E$12)/5,0)))</f>
        <v/>
      </c>
      <c r="O43" s="74" t="str">
        <f>IF(A43="","",IF(COUNTIFS(Deadlines!$D$6:$D$205,A43,Deadlines!$H$6:$H$205,"&lt;&gt;Completed",Deadlines!$G$6:$G$205,"&lt;&gt;")=0,"",MINIFS(Deadlines!$G$6:$G$205,Deadlines!$D$6:$D$205,A43,Deadlines!$H$6:$H$205,"&lt;&gt;Completed")))</f>
        <v/>
      </c>
      <c r="P43" s="78"/>
      <c r="Q43" s="78"/>
      <c r="R43" s="65"/>
      <c r="S43" s="78"/>
    </row>
    <row r="44" ht="24.0" customHeight="1">
      <c r="A44" s="78"/>
      <c r="B44" s="78"/>
      <c r="C44" s="78"/>
      <c r="D44" s="99"/>
      <c r="E44" s="99"/>
      <c r="F44" s="78"/>
      <c r="G44" s="99"/>
      <c r="H44" s="99"/>
      <c r="I44" s="99"/>
      <c r="J44" s="99"/>
      <c r="K44" s="99"/>
      <c r="L44" s="99"/>
      <c r="M44" s="99"/>
      <c r="N44" s="66" t="str">
        <f>IF(A44="","",IF(COUNT(I44:M44)&lt;5,"",ROUND(SUMPRODUCT(I44:M44,Setup!$A$12:$E$12)/5,0)))</f>
        <v/>
      </c>
      <c r="O44" s="74" t="str">
        <f>IF(A44="","",IF(COUNTIFS(Deadlines!$D$6:$D$205,A44,Deadlines!$H$6:$H$205,"&lt;&gt;Completed",Deadlines!$G$6:$G$205,"&lt;&gt;")=0,"",MINIFS(Deadlines!$G$6:$G$205,Deadlines!$D$6:$D$205,A44,Deadlines!$H$6:$H$205,"&lt;&gt;Completed")))</f>
        <v/>
      </c>
      <c r="P44" s="78"/>
      <c r="Q44" s="78"/>
      <c r="R44" s="65"/>
      <c r="S44" s="78"/>
    </row>
    <row r="45" ht="24.0" customHeight="1">
      <c r="A45" s="78"/>
      <c r="B45" s="78"/>
      <c r="C45" s="78"/>
      <c r="D45" s="99"/>
      <c r="E45" s="99"/>
      <c r="F45" s="78"/>
      <c r="G45" s="99"/>
      <c r="H45" s="99"/>
      <c r="I45" s="99"/>
      <c r="J45" s="99"/>
      <c r="K45" s="99"/>
      <c r="L45" s="99"/>
      <c r="M45" s="99"/>
      <c r="N45" s="66" t="str">
        <f>IF(A45="","",IF(COUNT(I45:M45)&lt;5,"",ROUND(SUMPRODUCT(I45:M45,Setup!$A$12:$E$12)/5,0)))</f>
        <v/>
      </c>
      <c r="O45" s="74" t="str">
        <f>IF(A45="","",IF(COUNTIFS(Deadlines!$D$6:$D$205,A45,Deadlines!$H$6:$H$205,"&lt;&gt;Completed",Deadlines!$G$6:$G$205,"&lt;&gt;")=0,"",MINIFS(Deadlines!$G$6:$G$205,Deadlines!$D$6:$D$205,A45,Deadlines!$H$6:$H$205,"&lt;&gt;Completed")))</f>
        <v/>
      </c>
      <c r="P45" s="78"/>
      <c r="Q45" s="78"/>
      <c r="R45" s="65"/>
      <c r="S45" s="78"/>
    </row>
    <row r="46" ht="24.0" customHeight="1">
      <c r="A46" s="78"/>
      <c r="B46" s="78"/>
      <c r="C46" s="78"/>
      <c r="D46" s="99"/>
      <c r="E46" s="99"/>
      <c r="F46" s="78"/>
      <c r="G46" s="99"/>
      <c r="H46" s="99"/>
      <c r="I46" s="99"/>
      <c r="J46" s="99"/>
      <c r="K46" s="99"/>
      <c r="L46" s="99"/>
      <c r="M46" s="99"/>
      <c r="N46" s="66" t="str">
        <f>IF(A46="","",IF(COUNT(I46:M46)&lt;5,"",ROUND(SUMPRODUCT(I46:M46,Setup!$A$12:$E$12)/5,0)))</f>
        <v/>
      </c>
      <c r="O46" s="74" t="str">
        <f>IF(A46="","",IF(COUNTIFS(Deadlines!$D$6:$D$205,A46,Deadlines!$H$6:$H$205,"&lt;&gt;Completed",Deadlines!$G$6:$G$205,"&lt;&gt;")=0,"",MINIFS(Deadlines!$G$6:$G$205,Deadlines!$D$6:$D$205,A46,Deadlines!$H$6:$H$205,"&lt;&gt;Completed")))</f>
        <v/>
      </c>
      <c r="P46" s="78"/>
      <c r="Q46" s="78"/>
      <c r="R46" s="65"/>
      <c r="S46" s="78"/>
    </row>
    <row r="47" ht="24.0" customHeight="1">
      <c r="A47" s="78"/>
      <c r="B47" s="78"/>
      <c r="C47" s="78"/>
      <c r="D47" s="99"/>
      <c r="E47" s="99"/>
      <c r="F47" s="78"/>
      <c r="G47" s="99"/>
      <c r="H47" s="99"/>
      <c r="I47" s="99"/>
      <c r="J47" s="99"/>
      <c r="K47" s="99"/>
      <c r="L47" s="99"/>
      <c r="M47" s="99"/>
      <c r="N47" s="66" t="str">
        <f>IF(A47="","",IF(COUNT(I47:M47)&lt;5,"",ROUND(SUMPRODUCT(I47:M47,Setup!$A$12:$E$12)/5,0)))</f>
        <v/>
      </c>
      <c r="O47" s="74" t="str">
        <f>IF(A47="","",IF(COUNTIFS(Deadlines!$D$6:$D$205,A47,Deadlines!$H$6:$H$205,"&lt;&gt;Completed",Deadlines!$G$6:$G$205,"&lt;&gt;")=0,"",MINIFS(Deadlines!$G$6:$G$205,Deadlines!$D$6:$D$205,A47,Deadlines!$H$6:$H$205,"&lt;&gt;Completed")))</f>
        <v/>
      </c>
      <c r="P47" s="78"/>
      <c r="Q47" s="78"/>
      <c r="R47" s="65"/>
      <c r="S47" s="78"/>
    </row>
    <row r="48" ht="24.0" customHeight="1">
      <c r="A48" s="78"/>
      <c r="B48" s="78"/>
      <c r="C48" s="78"/>
      <c r="D48" s="99"/>
      <c r="E48" s="99"/>
      <c r="F48" s="78"/>
      <c r="G48" s="99"/>
      <c r="H48" s="99"/>
      <c r="I48" s="99"/>
      <c r="J48" s="99"/>
      <c r="K48" s="99"/>
      <c r="L48" s="99"/>
      <c r="M48" s="99"/>
      <c r="N48" s="66" t="str">
        <f>IF(A48="","",IF(COUNT(I48:M48)&lt;5,"",ROUND(SUMPRODUCT(I48:M48,Setup!$A$12:$E$12)/5,0)))</f>
        <v/>
      </c>
      <c r="O48" s="74" t="str">
        <f>IF(A48="","",IF(COUNTIFS(Deadlines!$D$6:$D$205,A48,Deadlines!$H$6:$H$205,"&lt;&gt;Completed",Deadlines!$G$6:$G$205,"&lt;&gt;")=0,"",MINIFS(Deadlines!$G$6:$G$205,Deadlines!$D$6:$D$205,A48,Deadlines!$H$6:$H$205,"&lt;&gt;Completed")))</f>
        <v/>
      </c>
      <c r="P48" s="78"/>
      <c r="Q48" s="78"/>
      <c r="R48" s="65"/>
      <c r="S48" s="78"/>
    </row>
    <row r="49" ht="24.0" customHeight="1">
      <c r="A49" s="78"/>
      <c r="B49" s="78"/>
      <c r="C49" s="78"/>
      <c r="D49" s="99"/>
      <c r="E49" s="99"/>
      <c r="F49" s="78"/>
      <c r="G49" s="99"/>
      <c r="H49" s="99"/>
      <c r="I49" s="99"/>
      <c r="J49" s="99"/>
      <c r="K49" s="99"/>
      <c r="L49" s="99"/>
      <c r="M49" s="99"/>
      <c r="N49" s="66" t="str">
        <f>IF(A49="","",IF(COUNT(I49:M49)&lt;5,"",ROUND(SUMPRODUCT(I49:M49,Setup!$A$12:$E$12)/5,0)))</f>
        <v/>
      </c>
      <c r="O49" s="74" t="str">
        <f>IF(A49="","",IF(COUNTIFS(Deadlines!$D$6:$D$205,A49,Deadlines!$H$6:$H$205,"&lt;&gt;Completed",Deadlines!$G$6:$G$205,"&lt;&gt;")=0,"",MINIFS(Deadlines!$G$6:$G$205,Deadlines!$D$6:$D$205,A49,Deadlines!$H$6:$H$205,"&lt;&gt;Completed")))</f>
        <v/>
      </c>
      <c r="P49" s="78"/>
      <c r="Q49" s="78"/>
      <c r="R49" s="65"/>
      <c r="S49" s="78"/>
    </row>
    <row r="50" ht="24.0" customHeight="1">
      <c r="A50" s="78"/>
      <c r="B50" s="78"/>
      <c r="C50" s="78"/>
      <c r="D50" s="99"/>
      <c r="E50" s="99"/>
      <c r="F50" s="78"/>
      <c r="G50" s="99"/>
      <c r="H50" s="99"/>
      <c r="I50" s="99"/>
      <c r="J50" s="99"/>
      <c r="K50" s="99"/>
      <c r="L50" s="99"/>
      <c r="M50" s="99"/>
      <c r="N50" s="66" t="str">
        <f>IF(A50="","",IF(COUNT(I50:M50)&lt;5,"",ROUND(SUMPRODUCT(I50:M50,Setup!$A$12:$E$12)/5,0)))</f>
        <v/>
      </c>
      <c r="O50" s="74" t="str">
        <f>IF(A50="","",IF(COUNTIFS(Deadlines!$D$6:$D$205,A50,Deadlines!$H$6:$H$205,"&lt;&gt;Completed",Deadlines!$G$6:$G$205,"&lt;&gt;")=0,"",MINIFS(Deadlines!$G$6:$G$205,Deadlines!$D$6:$D$205,A50,Deadlines!$H$6:$H$205,"&lt;&gt;Completed")))</f>
        <v/>
      </c>
      <c r="P50" s="78"/>
      <c r="Q50" s="78"/>
      <c r="R50" s="65"/>
      <c r="S50" s="78"/>
    </row>
    <row r="51" ht="24.0" customHeight="1">
      <c r="A51" s="78"/>
      <c r="B51" s="78"/>
      <c r="C51" s="78"/>
      <c r="D51" s="99"/>
      <c r="E51" s="99"/>
      <c r="F51" s="78"/>
      <c r="G51" s="99"/>
      <c r="H51" s="99"/>
      <c r="I51" s="99"/>
      <c r="J51" s="99"/>
      <c r="K51" s="99"/>
      <c r="L51" s="99"/>
      <c r="M51" s="99"/>
      <c r="N51" s="66" t="str">
        <f>IF(A51="","",IF(COUNT(I51:M51)&lt;5,"",ROUND(SUMPRODUCT(I51:M51,Setup!$A$12:$E$12)/5,0)))</f>
        <v/>
      </c>
      <c r="O51" s="74" t="str">
        <f>IF(A51="","",IF(COUNTIFS(Deadlines!$D$6:$D$205,A51,Deadlines!$H$6:$H$205,"&lt;&gt;Completed",Deadlines!$G$6:$G$205,"&lt;&gt;")=0,"",MINIFS(Deadlines!$G$6:$G$205,Deadlines!$D$6:$D$205,A51,Deadlines!$H$6:$H$205,"&lt;&gt;Completed")))</f>
        <v/>
      </c>
      <c r="P51" s="78"/>
      <c r="Q51" s="78"/>
      <c r="R51" s="65"/>
      <c r="S51" s="78"/>
    </row>
    <row r="52" ht="24.0" customHeight="1">
      <c r="A52" s="78"/>
      <c r="B52" s="78"/>
      <c r="C52" s="78"/>
      <c r="D52" s="99"/>
      <c r="E52" s="99"/>
      <c r="F52" s="78"/>
      <c r="G52" s="99"/>
      <c r="H52" s="99"/>
      <c r="I52" s="99"/>
      <c r="J52" s="99"/>
      <c r="K52" s="99"/>
      <c r="L52" s="99"/>
      <c r="M52" s="99"/>
      <c r="N52" s="66" t="str">
        <f>IF(A52="","",IF(COUNT(I52:M52)&lt;5,"",ROUND(SUMPRODUCT(I52:M52,Setup!$A$12:$E$12)/5,0)))</f>
        <v/>
      </c>
      <c r="O52" s="74" t="str">
        <f>IF(A52="","",IF(COUNTIFS(Deadlines!$D$6:$D$205,A52,Deadlines!$H$6:$H$205,"&lt;&gt;Completed",Deadlines!$G$6:$G$205,"&lt;&gt;")=0,"",MINIFS(Deadlines!$G$6:$G$205,Deadlines!$D$6:$D$205,A52,Deadlines!$H$6:$H$205,"&lt;&gt;Completed")))</f>
        <v/>
      </c>
      <c r="P52" s="78"/>
      <c r="Q52" s="78"/>
      <c r="R52" s="65"/>
      <c r="S52" s="78"/>
    </row>
    <row r="53" ht="24.0" customHeight="1">
      <c r="A53" s="78"/>
      <c r="B53" s="78"/>
      <c r="C53" s="78"/>
      <c r="D53" s="99"/>
      <c r="E53" s="99"/>
      <c r="F53" s="78"/>
      <c r="G53" s="99"/>
      <c r="H53" s="99"/>
      <c r="I53" s="99"/>
      <c r="J53" s="99"/>
      <c r="K53" s="99"/>
      <c r="L53" s="99"/>
      <c r="M53" s="99"/>
      <c r="N53" s="66" t="str">
        <f>IF(A53="","",IF(COUNT(I53:M53)&lt;5,"",ROUND(SUMPRODUCT(I53:M53,Setup!$A$12:$E$12)/5,0)))</f>
        <v/>
      </c>
      <c r="O53" s="74" t="str">
        <f>IF(A53="","",IF(COUNTIFS(Deadlines!$D$6:$D$205,A53,Deadlines!$H$6:$H$205,"&lt;&gt;Completed",Deadlines!$G$6:$G$205,"&lt;&gt;")=0,"",MINIFS(Deadlines!$G$6:$G$205,Deadlines!$D$6:$D$205,A53,Deadlines!$H$6:$H$205,"&lt;&gt;Completed")))</f>
        <v/>
      </c>
      <c r="P53" s="78"/>
      <c r="Q53" s="78"/>
      <c r="R53" s="65"/>
      <c r="S53" s="78"/>
    </row>
    <row r="54" ht="24.0" customHeight="1">
      <c r="A54" s="78"/>
      <c r="B54" s="78"/>
      <c r="C54" s="78"/>
      <c r="D54" s="99"/>
      <c r="E54" s="99"/>
      <c r="F54" s="78"/>
      <c r="G54" s="99"/>
      <c r="H54" s="99"/>
      <c r="I54" s="99"/>
      <c r="J54" s="99"/>
      <c r="K54" s="99"/>
      <c r="L54" s="99"/>
      <c r="M54" s="99"/>
      <c r="N54" s="66" t="str">
        <f>IF(A54="","",IF(COUNT(I54:M54)&lt;5,"",ROUND(SUMPRODUCT(I54:M54,Setup!$A$12:$E$12)/5,0)))</f>
        <v/>
      </c>
      <c r="O54" s="74" t="str">
        <f>IF(A54="","",IF(COUNTIFS(Deadlines!$D$6:$D$205,A54,Deadlines!$H$6:$H$205,"&lt;&gt;Completed",Deadlines!$G$6:$G$205,"&lt;&gt;")=0,"",MINIFS(Deadlines!$G$6:$G$205,Deadlines!$D$6:$D$205,A54,Deadlines!$H$6:$H$205,"&lt;&gt;Completed")))</f>
        <v/>
      </c>
      <c r="P54" s="78"/>
      <c r="Q54" s="78"/>
      <c r="R54" s="65"/>
      <c r="S54" s="78"/>
    </row>
    <row r="55" ht="24.0" customHeight="1">
      <c r="A55" s="78"/>
      <c r="B55" s="78"/>
      <c r="C55" s="78"/>
      <c r="D55" s="99"/>
      <c r="E55" s="99"/>
      <c r="F55" s="78"/>
      <c r="G55" s="99"/>
      <c r="H55" s="99"/>
      <c r="I55" s="99"/>
      <c r="J55" s="99"/>
      <c r="K55" s="99"/>
      <c r="L55" s="99"/>
      <c r="M55" s="99"/>
      <c r="N55" s="66" t="str">
        <f>IF(A55="","",IF(COUNT(I55:M55)&lt;5,"",ROUND(SUMPRODUCT(I55:M55,Setup!$A$12:$E$12)/5,0)))</f>
        <v/>
      </c>
      <c r="O55" s="74" t="str">
        <f>IF(A55="","",IF(COUNTIFS(Deadlines!$D$6:$D$205,A55,Deadlines!$H$6:$H$205,"&lt;&gt;Completed",Deadlines!$G$6:$G$205,"&lt;&gt;")=0,"",MINIFS(Deadlines!$G$6:$G$205,Deadlines!$D$6:$D$205,A55,Deadlines!$H$6:$H$205,"&lt;&gt;Completed")))</f>
        <v/>
      </c>
      <c r="P55" s="78"/>
      <c r="Q55" s="78"/>
      <c r="R55" s="65"/>
      <c r="S55" s="78"/>
    </row>
    <row r="56" ht="24.0" customHeight="1">
      <c r="A56" s="78"/>
      <c r="B56" s="78"/>
      <c r="C56" s="78"/>
      <c r="D56" s="99"/>
      <c r="E56" s="99"/>
      <c r="F56" s="78"/>
      <c r="G56" s="99"/>
      <c r="H56" s="99"/>
      <c r="I56" s="99"/>
      <c r="J56" s="99"/>
      <c r="K56" s="99"/>
      <c r="L56" s="99"/>
      <c r="M56" s="99"/>
      <c r="N56" s="66" t="str">
        <f>IF(A56="","",IF(COUNT(I56:M56)&lt;5,"",ROUND(SUMPRODUCT(I56:M56,Setup!$A$12:$E$12)/5,0)))</f>
        <v/>
      </c>
      <c r="O56" s="74" t="str">
        <f>IF(A56="","",IF(COUNTIFS(Deadlines!$D$6:$D$205,A56,Deadlines!$H$6:$H$205,"&lt;&gt;Completed",Deadlines!$G$6:$G$205,"&lt;&gt;")=0,"",MINIFS(Deadlines!$G$6:$G$205,Deadlines!$D$6:$D$205,A56,Deadlines!$H$6:$H$205,"&lt;&gt;Completed")))</f>
        <v/>
      </c>
      <c r="P56" s="78"/>
      <c r="Q56" s="78"/>
      <c r="R56" s="65"/>
      <c r="S56" s="78"/>
    </row>
    <row r="57" ht="24.0" customHeight="1">
      <c r="A57" s="78"/>
      <c r="B57" s="78"/>
      <c r="C57" s="78"/>
      <c r="D57" s="99"/>
      <c r="E57" s="99"/>
      <c r="F57" s="78"/>
      <c r="G57" s="99"/>
      <c r="H57" s="99"/>
      <c r="I57" s="99"/>
      <c r="J57" s="99"/>
      <c r="K57" s="99"/>
      <c r="L57" s="99"/>
      <c r="M57" s="99"/>
      <c r="N57" s="66" t="str">
        <f>IF(A57="","",IF(COUNT(I57:M57)&lt;5,"",ROUND(SUMPRODUCT(I57:M57,Setup!$A$12:$E$12)/5,0)))</f>
        <v/>
      </c>
      <c r="O57" s="74" t="str">
        <f>IF(A57="","",IF(COUNTIFS(Deadlines!$D$6:$D$205,A57,Deadlines!$H$6:$H$205,"&lt;&gt;Completed",Deadlines!$G$6:$G$205,"&lt;&gt;")=0,"",MINIFS(Deadlines!$G$6:$G$205,Deadlines!$D$6:$D$205,A57,Deadlines!$H$6:$H$205,"&lt;&gt;Completed")))</f>
        <v/>
      </c>
      <c r="P57" s="78"/>
      <c r="Q57" s="78"/>
      <c r="R57" s="65"/>
      <c r="S57" s="78"/>
    </row>
    <row r="58" ht="24.0" customHeight="1">
      <c r="A58" s="78"/>
      <c r="B58" s="78"/>
      <c r="C58" s="78"/>
      <c r="D58" s="99"/>
      <c r="E58" s="99"/>
      <c r="F58" s="78"/>
      <c r="G58" s="99"/>
      <c r="H58" s="99"/>
      <c r="I58" s="99"/>
      <c r="J58" s="99"/>
      <c r="K58" s="99"/>
      <c r="L58" s="99"/>
      <c r="M58" s="99"/>
      <c r="N58" s="66" t="str">
        <f>IF(A58="","",IF(COUNT(I58:M58)&lt;5,"",ROUND(SUMPRODUCT(I58:M58,Setup!$A$12:$E$12)/5,0)))</f>
        <v/>
      </c>
      <c r="O58" s="74" t="str">
        <f>IF(A58="","",IF(COUNTIFS(Deadlines!$D$6:$D$205,A58,Deadlines!$H$6:$H$205,"&lt;&gt;Completed",Deadlines!$G$6:$G$205,"&lt;&gt;")=0,"",MINIFS(Deadlines!$G$6:$G$205,Deadlines!$D$6:$D$205,A58,Deadlines!$H$6:$H$205,"&lt;&gt;Completed")))</f>
        <v/>
      </c>
      <c r="P58" s="78"/>
      <c r="Q58" s="78"/>
      <c r="R58" s="65"/>
      <c r="S58" s="78"/>
    </row>
    <row r="59" ht="24.0" customHeight="1">
      <c r="A59" s="78"/>
      <c r="B59" s="78"/>
      <c r="C59" s="78"/>
      <c r="D59" s="99"/>
      <c r="E59" s="99"/>
      <c r="F59" s="78"/>
      <c r="G59" s="99"/>
      <c r="H59" s="99"/>
      <c r="I59" s="99"/>
      <c r="J59" s="99"/>
      <c r="K59" s="99"/>
      <c r="L59" s="99"/>
      <c r="M59" s="99"/>
      <c r="N59" s="66" t="str">
        <f>IF(A59="","",IF(COUNT(I59:M59)&lt;5,"",ROUND(SUMPRODUCT(I59:M59,Setup!$A$12:$E$12)/5,0)))</f>
        <v/>
      </c>
      <c r="O59" s="74" t="str">
        <f>IF(A59="","",IF(COUNTIFS(Deadlines!$D$6:$D$205,A59,Deadlines!$H$6:$H$205,"&lt;&gt;Completed",Deadlines!$G$6:$G$205,"&lt;&gt;")=0,"",MINIFS(Deadlines!$G$6:$G$205,Deadlines!$D$6:$D$205,A59,Deadlines!$H$6:$H$205,"&lt;&gt;Completed")))</f>
        <v/>
      </c>
      <c r="P59" s="78"/>
      <c r="Q59" s="78"/>
      <c r="R59" s="65"/>
      <c r="S59" s="78"/>
    </row>
    <row r="60" ht="24.0" customHeight="1">
      <c r="A60" s="78"/>
      <c r="B60" s="78"/>
      <c r="C60" s="78"/>
      <c r="D60" s="99"/>
      <c r="E60" s="99"/>
      <c r="F60" s="78"/>
      <c r="G60" s="99"/>
      <c r="H60" s="99"/>
      <c r="I60" s="99"/>
      <c r="J60" s="99"/>
      <c r="K60" s="99"/>
      <c r="L60" s="99"/>
      <c r="M60" s="99"/>
      <c r="N60" s="66" t="str">
        <f>IF(A60="","",IF(COUNT(I60:M60)&lt;5,"",ROUND(SUMPRODUCT(I60:M60,Setup!$A$12:$E$12)/5,0)))</f>
        <v/>
      </c>
      <c r="O60" s="74" t="str">
        <f>IF(A60="","",IF(COUNTIFS(Deadlines!$D$6:$D$205,A60,Deadlines!$H$6:$H$205,"&lt;&gt;Completed",Deadlines!$G$6:$G$205,"&lt;&gt;")=0,"",MINIFS(Deadlines!$G$6:$G$205,Deadlines!$D$6:$D$205,A60,Deadlines!$H$6:$H$205,"&lt;&gt;Completed")))</f>
        <v/>
      </c>
      <c r="P60" s="78"/>
      <c r="Q60" s="78"/>
      <c r="R60" s="65"/>
      <c r="S60" s="78"/>
    </row>
    <row r="61" ht="24.0" customHeight="1">
      <c r="A61" s="78"/>
      <c r="B61" s="78"/>
      <c r="C61" s="78"/>
      <c r="D61" s="99"/>
      <c r="E61" s="99"/>
      <c r="F61" s="78"/>
      <c r="G61" s="99"/>
      <c r="H61" s="99"/>
      <c r="I61" s="99"/>
      <c r="J61" s="99"/>
      <c r="K61" s="99"/>
      <c r="L61" s="99"/>
      <c r="M61" s="99"/>
      <c r="N61" s="66" t="str">
        <f>IF(A61="","",IF(COUNT(I61:M61)&lt;5,"",ROUND(SUMPRODUCT(I61:M61,Setup!$A$12:$E$12)/5,0)))</f>
        <v/>
      </c>
      <c r="O61" s="74" t="str">
        <f>IF(A61="","",IF(COUNTIFS(Deadlines!$D$6:$D$205,A61,Deadlines!$H$6:$H$205,"&lt;&gt;Completed",Deadlines!$G$6:$G$205,"&lt;&gt;")=0,"",MINIFS(Deadlines!$G$6:$G$205,Deadlines!$D$6:$D$205,A61,Deadlines!$H$6:$H$205,"&lt;&gt;Completed")))</f>
        <v/>
      </c>
      <c r="P61" s="78"/>
      <c r="Q61" s="78"/>
      <c r="R61" s="65"/>
      <c r="S61" s="78"/>
    </row>
    <row r="62" ht="24.0" customHeight="1">
      <c r="A62" s="78"/>
      <c r="B62" s="78"/>
      <c r="C62" s="78"/>
      <c r="D62" s="99"/>
      <c r="E62" s="99"/>
      <c r="F62" s="78"/>
      <c r="G62" s="99"/>
      <c r="H62" s="99"/>
      <c r="I62" s="99"/>
      <c r="J62" s="99"/>
      <c r="K62" s="99"/>
      <c r="L62" s="99"/>
      <c r="M62" s="99"/>
      <c r="N62" s="66" t="str">
        <f>IF(A62="","",IF(COUNT(I62:M62)&lt;5,"",ROUND(SUMPRODUCT(I62:M62,Setup!$A$12:$E$12)/5,0)))</f>
        <v/>
      </c>
      <c r="O62" s="74" t="str">
        <f>IF(A62="","",IF(COUNTIFS(Deadlines!$D$6:$D$205,A62,Deadlines!$H$6:$H$205,"&lt;&gt;Completed",Deadlines!$G$6:$G$205,"&lt;&gt;")=0,"",MINIFS(Deadlines!$G$6:$G$205,Deadlines!$D$6:$D$205,A62,Deadlines!$H$6:$H$205,"&lt;&gt;Completed")))</f>
        <v/>
      </c>
      <c r="P62" s="78"/>
      <c r="Q62" s="78"/>
      <c r="R62" s="65"/>
      <c r="S62" s="78"/>
    </row>
    <row r="63" ht="24.0" customHeight="1">
      <c r="A63" s="78"/>
      <c r="B63" s="78"/>
      <c r="C63" s="78"/>
      <c r="D63" s="99"/>
      <c r="E63" s="99"/>
      <c r="F63" s="78"/>
      <c r="G63" s="99"/>
      <c r="H63" s="99"/>
      <c r="I63" s="99"/>
      <c r="J63" s="99"/>
      <c r="K63" s="99"/>
      <c r="L63" s="99"/>
      <c r="M63" s="99"/>
      <c r="N63" s="66" t="str">
        <f>IF(A63="","",IF(COUNT(I63:M63)&lt;5,"",ROUND(SUMPRODUCT(I63:M63,Setup!$A$12:$E$12)/5,0)))</f>
        <v/>
      </c>
      <c r="O63" s="74" t="str">
        <f>IF(A63="","",IF(COUNTIFS(Deadlines!$D$6:$D$205,A63,Deadlines!$H$6:$H$205,"&lt;&gt;Completed",Deadlines!$G$6:$G$205,"&lt;&gt;")=0,"",MINIFS(Deadlines!$G$6:$G$205,Deadlines!$D$6:$D$205,A63,Deadlines!$H$6:$H$205,"&lt;&gt;Completed")))</f>
        <v/>
      </c>
      <c r="P63" s="78"/>
      <c r="Q63" s="78"/>
      <c r="R63" s="65"/>
      <c r="S63" s="78"/>
    </row>
    <row r="64" ht="24.0" customHeight="1">
      <c r="A64" s="78"/>
      <c r="B64" s="78"/>
      <c r="C64" s="78"/>
      <c r="D64" s="99"/>
      <c r="E64" s="99"/>
      <c r="F64" s="78"/>
      <c r="G64" s="99"/>
      <c r="H64" s="99"/>
      <c r="I64" s="99"/>
      <c r="J64" s="99"/>
      <c r="K64" s="99"/>
      <c r="L64" s="99"/>
      <c r="M64" s="99"/>
      <c r="N64" s="66" t="str">
        <f>IF(A64="","",IF(COUNT(I64:M64)&lt;5,"",ROUND(SUMPRODUCT(I64:M64,Setup!$A$12:$E$12)/5,0)))</f>
        <v/>
      </c>
      <c r="O64" s="74" t="str">
        <f>IF(A64="","",IF(COUNTIFS(Deadlines!$D$6:$D$205,A64,Deadlines!$H$6:$H$205,"&lt;&gt;Completed",Deadlines!$G$6:$G$205,"&lt;&gt;")=0,"",MINIFS(Deadlines!$G$6:$G$205,Deadlines!$D$6:$D$205,A64,Deadlines!$H$6:$H$205,"&lt;&gt;Completed")))</f>
        <v/>
      </c>
      <c r="P64" s="78"/>
      <c r="Q64" s="78"/>
      <c r="R64" s="65"/>
      <c r="S64" s="78"/>
    </row>
    <row r="65" ht="24.0" customHeight="1">
      <c r="A65" s="78"/>
      <c r="B65" s="78"/>
      <c r="C65" s="78"/>
      <c r="D65" s="99"/>
      <c r="E65" s="99"/>
      <c r="F65" s="78"/>
      <c r="G65" s="99"/>
      <c r="H65" s="99"/>
      <c r="I65" s="99"/>
      <c r="J65" s="99"/>
      <c r="K65" s="99"/>
      <c r="L65" s="99"/>
      <c r="M65" s="99"/>
      <c r="N65" s="66" t="str">
        <f>IF(A65="","",IF(COUNT(I65:M65)&lt;5,"",ROUND(SUMPRODUCT(I65:M65,Setup!$A$12:$E$12)/5,0)))</f>
        <v/>
      </c>
      <c r="O65" s="74" t="str">
        <f>IF(A65="","",IF(COUNTIFS(Deadlines!$D$6:$D$205,A65,Deadlines!$H$6:$H$205,"&lt;&gt;Completed",Deadlines!$G$6:$G$205,"&lt;&gt;")=0,"",MINIFS(Deadlines!$G$6:$G$205,Deadlines!$D$6:$D$205,A65,Deadlines!$H$6:$H$205,"&lt;&gt;Completed")))</f>
        <v/>
      </c>
      <c r="P65" s="78"/>
      <c r="Q65" s="78"/>
      <c r="R65" s="65"/>
      <c r="S65" s="78"/>
    </row>
    <row r="66" ht="24.0" customHeight="1">
      <c r="A66" s="78"/>
      <c r="B66" s="78"/>
      <c r="C66" s="78"/>
      <c r="D66" s="99"/>
      <c r="E66" s="99"/>
      <c r="F66" s="78"/>
      <c r="G66" s="99"/>
      <c r="H66" s="99"/>
      <c r="I66" s="99"/>
      <c r="J66" s="99"/>
      <c r="K66" s="99"/>
      <c r="L66" s="99"/>
      <c r="M66" s="99"/>
      <c r="N66" s="66" t="str">
        <f>IF(A66="","",IF(COUNT(I66:M66)&lt;5,"",ROUND(SUMPRODUCT(I66:M66,Setup!$A$12:$E$12)/5,0)))</f>
        <v/>
      </c>
      <c r="O66" s="74" t="str">
        <f>IF(A66="","",IF(COUNTIFS(Deadlines!$D$6:$D$205,A66,Deadlines!$H$6:$H$205,"&lt;&gt;Completed",Deadlines!$G$6:$G$205,"&lt;&gt;")=0,"",MINIFS(Deadlines!$G$6:$G$205,Deadlines!$D$6:$D$205,A66,Deadlines!$H$6:$H$205,"&lt;&gt;Completed")))</f>
        <v/>
      </c>
      <c r="P66" s="78"/>
      <c r="Q66" s="78"/>
      <c r="R66" s="65"/>
      <c r="S66" s="78"/>
    </row>
    <row r="67" ht="24.0" customHeight="1">
      <c r="A67" s="78"/>
      <c r="B67" s="78"/>
      <c r="C67" s="78"/>
      <c r="D67" s="99"/>
      <c r="E67" s="99"/>
      <c r="F67" s="78"/>
      <c r="G67" s="99"/>
      <c r="H67" s="99"/>
      <c r="I67" s="99"/>
      <c r="J67" s="99"/>
      <c r="K67" s="99"/>
      <c r="L67" s="99"/>
      <c r="M67" s="99"/>
      <c r="N67" s="66" t="str">
        <f>IF(A67="","",IF(COUNT(I67:M67)&lt;5,"",ROUND(SUMPRODUCT(I67:M67,Setup!$A$12:$E$12)/5,0)))</f>
        <v/>
      </c>
      <c r="O67" s="74" t="str">
        <f>IF(A67="","",IF(COUNTIFS(Deadlines!$D$6:$D$205,A67,Deadlines!$H$6:$H$205,"&lt;&gt;Completed",Deadlines!$G$6:$G$205,"&lt;&gt;")=0,"",MINIFS(Deadlines!$G$6:$G$205,Deadlines!$D$6:$D$205,A67,Deadlines!$H$6:$H$205,"&lt;&gt;Completed")))</f>
        <v/>
      </c>
      <c r="P67" s="78"/>
      <c r="Q67" s="78"/>
      <c r="R67" s="65"/>
      <c r="S67" s="78"/>
    </row>
    <row r="68" ht="24.0" customHeight="1">
      <c r="A68" s="78"/>
      <c r="B68" s="78"/>
      <c r="C68" s="78"/>
      <c r="D68" s="99"/>
      <c r="E68" s="99"/>
      <c r="F68" s="78"/>
      <c r="G68" s="99"/>
      <c r="H68" s="99"/>
      <c r="I68" s="99"/>
      <c r="J68" s="99"/>
      <c r="K68" s="99"/>
      <c r="L68" s="99"/>
      <c r="M68" s="99"/>
      <c r="N68" s="66" t="str">
        <f>IF(A68="","",IF(COUNT(I68:M68)&lt;5,"",ROUND(SUMPRODUCT(I68:M68,Setup!$A$12:$E$12)/5,0)))</f>
        <v/>
      </c>
      <c r="O68" s="74" t="str">
        <f>IF(A68="","",IF(COUNTIFS(Deadlines!$D$6:$D$205,A68,Deadlines!$H$6:$H$205,"&lt;&gt;Completed",Deadlines!$G$6:$G$205,"&lt;&gt;")=0,"",MINIFS(Deadlines!$G$6:$G$205,Deadlines!$D$6:$D$205,A68,Deadlines!$H$6:$H$205,"&lt;&gt;Completed")))</f>
        <v/>
      </c>
      <c r="P68" s="78"/>
      <c r="Q68" s="78"/>
      <c r="R68" s="65"/>
      <c r="S68" s="78"/>
    </row>
    <row r="69" ht="24.0" customHeight="1">
      <c r="A69" s="78"/>
      <c r="B69" s="78"/>
      <c r="C69" s="78"/>
      <c r="D69" s="99"/>
      <c r="E69" s="99"/>
      <c r="F69" s="78"/>
      <c r="G69" s="99"/>
      <c r="H69" s="99"/>
      <c r="I69" s="99"/>
      <c r="J69" s="99"/>
      <c r="K69" s="99"/>
      <c r="L69" s="99"/>
      <c r="M69" s="99"/>
      <c r="N69" s="66" t="str">
        <f>IF(A69="","",IF(COUNT(I69:M69)&lt;5,"",ROUND(SUMPRODUCT(I69:M69,Setup!$A$12:$E$12)/5,0)))</f>
        <v/>
      </c>
      <c r="O69" s="74" t="str">
        <f>IF(A69="","",IF(COUNTIFS(Deadlines!$D$6:$D$205,A69,Deadlines!$H$6:$H$205,"&lt;&gt;Completed",Deadlines!$G$6:$G$205,"&lt;&gt;")=0,"",MINIFS(Deadlines!$G$6:$G$205,Deadlines!$D$6:$D$205,A69,Deadlines!$H$6:$H$205,"&lt;&gt;Completed")))</f>
        <v/>
      </c>
      <c r="P69" s="78"/>
      <c r="Q69" s="78"/>
      <c r="R69" s="65"/>
      <c r="S69" s="78"/>
    </row>
    <row r="70" ht="24.0" customHeight="1">
      <c r="A70" s="78"/>
      <c r="B70" s="78"/>
      <c r="C70" s="78"/>
      <c r="D70" s="99"/>
      <c r="E70" s="99"/>
      <c r="F70" s="78"/>
      <c r="G70" s="99"/>
      <c r="H70" s="99"/>
      <c r="I70" s="99"/>
      <c r="J70" s="99"/>
      <c r="K70" s="99"/>
      <c r="L70" s="99"/>
      <c r="M70" s="99"/>
      <c r="N70" s="66" t="str">
        <f>IF(A70="","",IF(COUNT(I70:M70)&lt;5,"",ROUND(SUMPRODUCT(I70:M70,Setup!$A$12:$E$12)/5,0)))</f>
        <v/>
      </c>
      <c r="O70" s="74" t="str">
        <f>IF(A70="","",IF(COUNTIFS(Deadlines!$D$6:$D$205,A70,Deadlines!$H$6:$H$205,"&lt;&gt;Completed",Deadlines!$G$6:$G$205,"&lt;&gt;")=0,"",MINIFS(Deadlines!$G$6:$G$205,Deadlines!$D$6:$D$205,A70,Deadlines!$H$6:$H$205,"&lt;&gt;Completed")))</f>
        <v/>
      </c>
      <c r="P70" s="78"/>
      <c r="Q70" s="78"/>
      <c r="R70" s="65"/>
      <c r="S70" s="78"/>
    </row>
    <row r="71" ht="24.0" customHeight="1">
      <c r="A71" s="78"/>
      <c r="B71" s="78"/>
      <c r="C71" s="78"/>
      <c r="D71" s="99"/>
      <c r="E71" s="99"/>
      <c r="F71" s="78"/>
      <c r="G71" s="99"/>
      <c r="H71" s="99"/>
      <c r="I71" s="99"/>
      <c r="J71" s="99"/>
      <c r="K71" s="99"/>
      <c r="L71" s="99"/>
      <c r="M71" s="99"/>
      <c r="N71" s="66" t="str">
        <f>IF(A71="","",IF(COUNT(I71:M71)&lt;5,"",ROUND(SUMPRODUCT(I71:M71,Setup!$A$12:$E$12)/5,0)))</f>
        <v/>
      </c>
      <c r="O71" s="74" t="str">
        <f>IF(A71="","",IF(COUNTIFS(Deadlines!$D$6:$D$205,A71,Deadlines!$H$6:$H$205,"&lt;&gt;Completed",Deadlines!$G$6:$G$205,"&lt;&gt;")=0,"",MINIFS(Deadlines!$G$6:$G$205,Deadlines!$D$6:$D$205,A71,Deadlines!$H$6:$H$205,"&lt;&gt;Completed")))</f>
        <v/>
      </c>
      <c r="P71" s="78"/>
      <c r="Q71" s="78"/>
      <c r="R71" s="65"/>
      <c r="S71" s="78"/>
    </row>
    <row r="72" ht="24.0" customHeight="1">
      <c r="A72" s="78"/>
      <c r="B72" s="78"/>
      <c r="C72" s="78"/>
      <c r="D72" s="99"/>
      <c r="E72" s="99"/>
      <c r="F72" s="78"/>
      <c r="G72" s="99"/>
      <c r="H72" s="99"/>
      <c r="I72" s="99"/>
      <c r="J72" s="99"/>
      <c r="K72" s="99"/>
      <c r="L72" s="99"/>
      <c r="M72" s="99"/>
      <c r="N72" s="66" t="str">
        <f>IF(A72="","",IF(COUNT(I72:M72)&lt;5,"",ROUND(SUMPRODUCT(I72:M72,Setup!$A$12:$E$12)/5,0)))</f>
        <v/>
      </c>
      <c r="O72" s="74" t="str">
        <f>IF(A72="","",IF(COUNTIFS(Deadlines!$D$6:$D$205,A72,Deadlines!$H$6:$H$205,"&lt;&gt;Completed",Deadlines!$G$6:$G$205,"&lt;&gt;")=0,"",MINIFS(Deadlines!$G$6:$G$205,Deadlines!$D$6:$D$205,A72,Deadlines!$H$6:$H$205,"&lt;&gt;Completed")))</f>
        <v/>
      </c>
      <c r="P72" s="78"/>
      <c r="Q72" s="78"/>
      <c r="R72" s="65"/>
      <c r="S72" s="78"/>
    </row>
    <row r="73" ht="24.0" customHeight="1">
      <c r="A73" s="78"/>
      <c r="B73" s="78"/>
      <c r="C73" s="78"/>
      <c r="D73" s="99"/>
      <c r="E73" s="99"/>
      <c r="F73" s="78"/>
      <c r="G73" s="99"/>
      <c r="H73" s="99"/>
      <c r="I73" s="99"/>
      <c r="J73" s="99"/>
      <c r="K73" s="99"/>
      <c r="L73" s="99"/>
      <c r="M73" s="99"/>
      <c r="N73" s="66" t="str">
        <f>IF(A73="","",IF(COUNT(I73:M73)&lt;5,"",ROUND(SUMPRODUCT(I73:M73,Setup!$A$12:$E$12)/5,0)))</f>
        <v/>
      </c>
      <c r="O73" s="74" t="str">
        <f>IF(A73="","",IF(COUNTIFS(Deadlines!$D$6:$D$205,A73,Deadlines!$H$6:$H$205,"&lt;&gt;Completed",Deadlines!$G$6:$G$205,"&lt;&gt;")=0,"",MINIFS(Deadlines!$G$6:$G$205,Deadlines!$D$6:$D$205,A73,Deadlines!$H$6:$H$205,"&lt;&gt;Completed")))</f>
        <v/>
      </c>
      <c r="P73" s="78"/>
      <c r="Q73" s="78"/>
      <c r="R73" s="65"/>
      <c r="S73" s="78"/>
    </row>
    <row r="74" ht="24.0" customHeight="1">
      <c r="A74" s="78"/>
      <c r="B74" s="78"/>
      <c r="C74" s="78"/>
      <c r="D74" s="99"/>
      <c r="E74" s="99"/>
      <c r="F74" s="78"/>
      <c r="G74" s="99"/>
      <c r="H74" s="99"/>
      <c r="I74" s="99"/>
      <c r="J74" s="99"/>
      <c r="K74" s="99"/>
      <c r="L74" s="99"/>
      <c r="M74" s="99"/>
      <c r="N74" s="66" t="str">
        <f>IF(A74="","",IF(COUNT(I74:M74)&lt;5,"",ROUND(SUMPRODUCT(I74:M74,Setup!$A$12:$E$12)/5,0)))</f>
        <v/>
      </c>
      <c r="O74" s="74" t="str">
        <f>IF(A74="","",IF(COUNTIFS(Deadlines!$D$6:$D$205,A74,Deadlines!$H$6:$H$205,"&lt;&gt;Completed",Deadlines!$G$6:$G$205,"&lt;&gt;")=0,"",MINIFS(Deadlines!$G$6:$G$205,Deadlines!$D$6:$D$205,A74,Deadlines!$H$6:$H$205,"&lt;&gt;Completed")))</f>
        <v/>
      </c>
      <c r="P74" s="78"/>
      <c r="Q74" s="78"/>
      <c r="R74" s="65"/>
      <c r="S74" s="78"/>
    </row>
    <row r="75" ht="24.0" customHeight="1">
      <c r="A75" s="78"/>
      <c r="B75" s="78"/>
      <c r="C75" s="78"/>
      <c r="D75" s="99"/>
      <c r="E75" s="99"/>
      <c r="F75" s="78"/>
      <c r="G75" s="99"/>
      <c r="H75" s="99"/>
      <c r="I75" s="99"/>
      <c r="J75" s="99"/>
      <c r="K75" s="99"/>
      <c r="L75" s="99"/>
      <c r="M75" s="99"/>
      <c r="N75" s="66" t="str">
        <f>IF(A75="","",IF(COUNT(I75:M75)&lt;5,"",ROUND(SUMPRODUCT(I75:M75,Setup!$A$12:$E$12)/5,0)))</f>
        <v/>
      </c>
      <c r="O75" s="74" t="str">
        <f>IF(A75="","",IF(COUNTIFS(Deadlines!$D$6:$D$205,A75,Deadlines!$H$6:$H$205,"&lt;&gt;Completed",Deadlines!$G$6:$G$205,"&lt;&gt;")=0,"",MINIFS(Deadlines!$G$6:$G$205,Deadlines!$D$6:$D$205,A75,Deadlines!$H$6:$H$205,"&lt;&gt;Completed")))</f>
        <v/>
      </c>
      <c r="P75" s="78"/>
      <c r="Q75" s="78"/>
      <c r="R75" s="65"/>
      <c r="S75" s="78"/>
    </row>
    <row r="76" ht="24.0" customHeight="1">
      <c r="A76" s="78"/>
      <c r="B76" s="78"/>
      <c r="C76" s="78"/>
      <c r="D76" s="99"/>
      <c r="E76" s="99"/>
      <c r="F76" s="78"/>
      <c r="G76" s="99"/>
      <c r="H76" s="99"/>
      <c r="I76" s="99"/>
      <c r="J76" s="99"/>
      <c r="K76" s="99"/>
      <c r="L76" s="99"/>
      <c r="M76" s="99"/>
      <c r="N76" s="66" t="str">
        <f>IF(A76="","",IF(COUNT(I76:M76)&lt;5,"",ROUND(SUMPRODUCT(I76:M76,Setup!$A$12:$E$12)/5,0)))</f>
        <v/>
      </c>
      <c r="O76" s="74" t="str">
        <f>IF(A76="","",IF(COUNTIFS(Deadlines!$D$6:$D$205,A76,Deadlines!$H$6:$H$205,"&lt;&gt;Completed",Deadlines!$G$6:$G$205,"&lt;&gt;")=0,"",MINIFS(Deadlines!$G$6:$G$205,Deadlines!$D$6:$D$205,A76,Deadlines!$H$6:$H$205,"&lt;&gt;Completed")))</f>
        <v/>
      </c>
      <c r="P76" s="78"/>
      <c r="Q76" s="78"/>
      <c r="R76" s="65"/>
      <c r="S76" s="78"/>
    </row>
    <row r="77" ht="24.0" customHeight="1">
      <c r="A77" s="78"/>
      <c r="B77" s="78"/>
      <c r="C77" s="78"/>
      <c r="D77" s="99"/>
      <c r="E77" s="99"/>
      <c r="F77" s="78"/>
      <c r="G77" s="99"/>
      <c r="H77" s="99"/>
      <c r="I77" s="99"/>
      <c r="J77" s="99"/>
      <c r="K77" s="99"/>
      <c r="L77" s="99"/>
      <c r="M77" s="99"/>
      <c r="N77" s="66" t="str">
        <f>IF(A77="","",IF(COUNT(I77:M77)&lt;5,"",ROUND(SUMPRODUCT(I77:M77,Setup!$A$12:$E$12)/5,0)))</f>
        <v/>
      </c>
      <c r="O77" s="74" t="str">
        <f>IF(A77="","",IF(COUNTIFS(Deadlines!$D$6:$D$205,A77,Deadlines!$H$6:$H$205,"&lt;&gt;Completed",Deadlines!$G$6:$G$205,"&lt;&gt;")=0,"",MINIFS(Deadlines!$G$6:$G$205,Deadlines!$D$6:$D$205,A77,Deadlines!$H$6:$H$205,"&lt;&gt;Completed")))</f>
        <v/>
      </c>
      <c r="P77" s="78"/>
      <c r="Q77" s="78"/>
      <c r="R77" s="65"/>
      <c r="S77" s="78"/>
    </row>
    <row r="78" ht="24.0" customHeight="1">
      <c r="A78" s="78"/>
      <c r="B78" s="78"/>
      <c r="C78" s="78"/>
      <c r="D78" s="99"/>
      <c r="E78" s="99"/>
      <c r="F78" s="78"/>
      <c r="G78" s="99"/>
      <c r="H78" s="99"/>
      <c r="I78" s="99"/>
      <c r="J78" s="99"/>
      <c r="K78" s="99"/>
      <c r="L78" s="99"/>
      <c r="M78" s="99"/>
      <c r="N78" s="66" t="str">
        <f>IF(A78="","",IF(COUNT(I78:M78)&lt;5,"",ROUND(SUMPRODUCT(I78:M78,Setup!$A$12:$E$12)/5,0)))</f>
        <v/>
      </c>
      <c r="O78" s="74" t="str">
        <f>IF(A78="","",IF(COUNTIFS(Deadlines!$D$6:$D$205,A78,Deadlines!$H$6:$H$205,"&lt;&gt;Completed",Deadlines!$G$6:$G$205,"&lt;&gt;")=0,"",MINIFS(Deadlines!$G$6:$G$205,Deadlines!$D$6:$D$205,A78,Deadlines!$H$6:$H$205,"&lt;&gt;Completed")))</f>
        <v/>
      </c>
      <c r="P78" s="78"/>
      <c r="Q78" s="78"/>
      <c r="R78" s="65"/>
      <c r="S78" s="78"/>
    </row>
    <row r="79" ht="24.0" customHeight="1">
      <c r="A79" s="78"/>
      <c r="B79" s="78"/>
      <c r="C79" s="78"/>
      <c r="D79" s="99"/>
      <c r="E79" s="99"/>
      <c r="F79" s="78"/>
      <c r="G79" s="99"/>
      <c r="H79" s="99"/>
      <c r="I79" s="99"/>
      <c r="J79" s="99"/>
      <c r="K79" s="99"/>
      <c r="L79" s="99"/>
      <c r="M79" s="99"/>
      <c r="N79" s="66" t="str">
        <f>IF(A79="","",IF(COUNT(I79:M79)&lt;5,"",ROUND(SUMPRODUCT(I79:M79,Setup!$A$12:$E$12)/5,0)))</f>
        <v/>
      </c>
      <c r="O79" s="74" t="str">
        <f>IF(A79="","",IF(COUNTIFS(Deadlines!$D$6:$D$205,A79,Deadlines!$H$6:$H$205,"&lt;&gt;Completed",Deadlines!$G$6:$G$205,"&lt;&gt;")=0,"",MINIFS(Deadlines!$G$6:$G$205,Deadlines!$D$6:$D$205,A79,Deadlines!$H$6:$H$205,"&lt;&gt;Completed")))</f>
        <v/>
      </c>
      <c r="P79" s="78"/>
      <c r="Q79" s="78"/>
      <c r="R79" s="65"/>
      <c r="S79" s="78"/>
    </row>
    <row r="80" ht="24.0" customHeight="1">
      <c r="A80" s="78"/>
      <c r="B80" s="78"/>
      <c r="C80" s="78"/>
      <c r="D80" s="99"/>
      <c r="E80" s="99"/>
      <c r="F80" s="78"/>
      <c r="G80" s="99"/>
      <c r="H80" s="99"/>
      <c r="I80" s="99"/>
      <c r="J80" s="99"/>
      <c r="K80" s="99"/>
      <c r="L80" s="99"/>
      <c r="M80" s="99"/>
      <c r="N80" s="66" t="str">
        <f>IF(A80="","",IF(COUNT(I80:M80)&lt;5,"",ROUND(SUMPRODUCT(I80:M80,Setup!$A$12:$E$12)/5,0)))</f>
        <v/>
      </c>
      <c r="O80" s="74" t="str">
        <f>IF(A80="","",IF(COUNTIFS(Deadlines!$D$6:$D$205,A80,Deadlines!$H$6:$H$205,"&lt;&gt;Completed",Deadlines!$G$6:$G$205,"&lt;&gt;")=0,"",MINIFS(Deadlines!$G$6:$G$205,Deadlines!$D$6:$D$205,A80,Deadlines!$H$6:$H$205,"&lt;&gt;Completed")))</f>
        <v/>
      </c>
      <c r="P80" s="78"/>
      <c r="Q80" s="78"/>
      <c r="R80" s="65"/>
      <c r="S80" s="78"/>
    </row>
    <row r="81" ht="24.0" customHeight="1">
      <c r="A81" s="78"/>
      <c r="B81" s="78"/>
      <c r="C81" s="78"/>
      <c r="D81" s="99"/>
      <c r="E81" s="99"/>
      <c r="F81" s="78"/>
      <c r="G81" s="99"/>
      <c r="H81" s="99"/>
      <c r="I81" s="99"/>
      <c r="J81" s="99"/>
      <c r="K81" s="99"/>
      <c r="L81" s="99"/>
      <c r="M81" s="99"/>
      <c r="N81" s="66" t="str">
        <f>IF(A81="","",IF(COUNT(I81:M81)&lt;5,"",ROUND(SUMPRODUCT(I81:M81,Setup!$A$12:$E$12)/5,0)))</f>
        <v/>
      </c>
      <c r="O81" s="74" t="str">
        <f>IF(A81="","",IF(COUNTIFS(Deadlines!$D$6:$D$205,A81,Deadlines!$H$6:$H$205,"&lt;&gt;Completed",Deadlines!$G$6:$G$205,"&lt;&gt;")=0,"",MINIFS(Deadlines!$G$6:$G$205,Deadlines!$D$6:$D$205,A81,Deadlines!$H$6:$H$205,"&lt;&gt;Completed")))</f>
        <v/>
      </c>
      <c r="P81" s="78"/>
      <c r="Q81" s="78"/>
      <c r="R81" s="65"/>
      <c r="S81" s="78"/>
    </row>
    <row r="82" ht="24.0" customHeight="1">
      <c r="A82" s="78"/>
      <c r="B82" s="78"/>
      <c r="C82" s="78"/>
      <c r="D82" s="99"/>
      <c r="E82" s="99"/>
      <c r="F82" s="78"/>
      <c r="G82" s="99"/>
      <c r="H82" s="99"/>
      <c r="I82" s="99"/>
      <c r="J82" s="99"/>
      <c r="K82" s="99"/>
      <c r="L82" s="99"/>
      <c r="M82" s="99"/>
      <c r="N82" s="66" t="str">
        <f>IF(A82="","",IF(COUNT(I82:M82)&lt;5,"",ROUND(SUMPRODUCT(I82:M82,Setup!$A$12:$E$12)/5,0)))</f>
        <v/>
      </c>
      <c r="O82" s="74" t="str">
        <f>IF(A82="","",IF(COUNTIFS(Deadlines!$D$6:$D$205,A82,Deadlines!$H$6:$H$205,"&lt;&gt;Completed",Deadlines!$G$6:$G$205,"&lt;&gt;")=0,"",MINIFS(Deadlines!$G$6:$G$205,Deadlines!$D$6:$D$205,A82,Deadlines!$H$6:$H$205,"&lt;&gt;Completed")))</f>
        <v/>
      </c>
      <c r="P82" s="78"/>
      <c r="Q82" s="78"/>
      <c r="R82" s="65"/>
      <c r="S82" s="78"/>
    </row>
    <row r="83" ht="24.0" customHeight="1">
      <c r="A83" s="78"/>
      <c r="B83" s="78"/>
      <c r="C83" s="78"/>
      <c r="D83" s="99"/>
      <c r="E83" s="99"/>
      <c r="F83" s="78"/>
      <c r="G83" s="99"/>
      <c r="H83" s="99"/>
      <c r="I83" s="99"/>
      <c r="J83" s="99"/>
      <c r="K83" s="99"/>
      <c r="L83" s="99"/>
      <c r="M83" s="99"/>
      <c r="N83" s="66" t="str">
        <f>IF(A83="","",IF(COUNT(I83:M83)&lt;5,"",ROUND(SUMPRODUCT(I83:M83,Setup!$A$12:$E$12)/5,0)))</f>
        <v/>
      </c>
      <c r="O83" s="74" t="str">
        <f>IF(A83="","",IF(COUNTIFS(Deadlines!$D$6:$D$205,A83,Deadlines!$H$6:$H$205,"&lt;&gt;Completed",Deadlines!$G$6:$G$205,"&lt;&gt;")=0,"",MINIFS(Deadlines!$G$6:$G$205,Deadlines!$D$6:$D$205,A83,Deadlines!$H$6:$H$205,"&lt;&gt;Completed")))</f>
        <v/>
      </c>
      <c r="P83" s="78"/>
      <c r="Q83" s="78"/>
      <c r="R83" s="65"/>
      <c r="S83" s="78"/>
    </row>
    <row r="84" ht="24.0" customHeight="1">
      <c r="A84" s="78"/>
      <c r="B84" s="78"/>
      <c r="C84" s="78"/>
      <c r="D84" s="99"/>
      <c r="E84" s="99"/>
      <c r="F84" s="78"/>
      <c r="G84" s="99"/>
      <c r="H84" s="99"/>
      <c r="I84" s="99"/>
      <c r="J84" s="99"/>
      <c r="K84" s="99"/>
      <c r="L84" s="99"/>
      <c r="M84" s="99"/>
      <c r="N84" s="66" t="str">
        <f>IF(A84="","",IF(COUNT(I84:M84)&lt;5,"",ROUND(SUMPRODUCT(I84:M84,Setup!$A$12:$E$12)/5,0)))</f>
        <v/>
      </c>
      <c r="O84" s="74" t="str">
        <f>IF(A84="","",IF(COUNTIFS(Deadlines!$D$6:$D$205,A84,Deadlines!$H$6:$H$205,"&lt;&gt;Completed",Deadlines!$G$6:$G$205,"&lt;&gt;")=0,"",MINIFS(Deadlines!$G$6:$G$205,Deadlines!$D$6:$D$205,A84,Deadlines!$H$6:$H$205,"&lt;&gt;Completed")))</f>
        <v/>
      </c>
      <c r="P84" s="78"/>
      <c r="Q84" s="78"/>
      <c r="R84" s="65"/>
      <c r="S84" s="78"/>
    </row>
    <row r="85" ht="24.0" customHeight="1">
      <c r="A85" s="78"/>
      <c r="B85" s="78"/>
      <c r="C85" s="78"/>
      <c r="D85" s="99"/>
      <c r="E85" s="99"/>
      <c r="F85" s="78"/>
      <c r="G85" s="99"/>
      <c r="H85" s="99"/>
      <c r="I85" s="99"/>
      <c r="J85" s="99"/>
      <c r="K85" s="99"/>
      <c r="L85" s="99"/>
      <c r="M85" s="99"/>
      <c r="N85" s="66" t="str">
        <f>IF(A85="","",IF(COUNT(I85:M85)&lt;5,"",ROUND(SUMPRODUCT(I85:M85,Setup!$A$12:$E$12)/5,0)))</f>
        <v/>
      </c>
      <c r="O85" s="74" t="str">
        <f>IF(A85="","",IF(COUNTIFS(Deadlines!$D$6:$D$205,A85,Deadlines!$H$6:$H$205,"&lt;&gt;Completed",Deadlines!$G$6:$G$205,"&lt;&gt;")=0,"",MINIFS(Deadlines!$G$6:$G$205,Deadlines!$D$6:$D$205,A85,Deadlines!$H$6:$H$205,"&lt;&gt;Completed")))</f>
        <v/>
      </c>
      <c r="P85" s="78"/>
      <c r="Q85" s="78"/>
      <c r="R85" s="65"/>
      <c r="S85" s="78"/>
    </row>
    <row r="86" ht="24.0" customHeight="1">
      <c r="A86" s="78"/>
      <c r="B86" s="78"/>
      <c r="C86" s="78"/>
      <c r="D86" s="99"/>
      <c r="E86" s="99"/>
      <c r="F86" s="78"/>
      <c r="G86" s="99"/>
      <c r="H86" s="99"/>
      <c r="I86" s="99"/>
      <c r="J86" s="99"/>
      <c r="K86" s="99"/>
      <c r="L86" s="99"/>
      <c r="M86" s="99"/>
      <c r="N86" s="66" t="str">
        <f>IF(A86="","",IF(COUNT(I86:M86)&lt;5,"",ROUND(SUMPRODUCT(I86:M86,Setup!$A$12:$E$12)/5,0)))</f>
        <v/>
      </c>
      <c r="O86" s="74" t="str">
        <f>IF(A86="","",IF(COUNTIFS(Deadlines!$D$6:$D$205,A86,Deadlines!$H$6:$H$205,"&lt;&gt;Completed",Deadlines!$G$6:$G$205,"&lt;&gt;")=0,"",MINIFS(Deadlines!$G$6:$G$205,Deadlines!$D$6:$D$205,A86,Deadlines!$H$6:$H$205,"&lt;&gt;Completed")))</f>
        <v/>
      </c>
      <c r="P86" s="78"/>
      <c r="Q86" s="78"/>
      <c r="R86" s="65"/>
      <c r="S86" s="78"/>
    </row>
    <row r="87" ht="24.0" customHeight="1">
      <c r="A87" s="78"/>
      <c r="B87" s="78"/>
      <c r="C87" s="78"/>
      <c r="D87" s="99"/>
      <c r="E87" s="99"/>
      <c r="F87" s="78"/>
      <c r="G87" s="99"/>
      <c r="H87" s="99"/>
      <c r="I87" s="99"/>
      <c r="J87" s="99"/>
      <c r="K87" s="99"/>
      <c r="L87" s="99"/>
      <c r="M87" s="99"/>
      <c r="N87" s="66" t="str">
        <f>IF(A87="","",IF(COUNT(I87:M87)&lt;5,"",ROUND(SUMPRODUCT(I87:M87,Setup!$A$12:$E$12)/5,0)))</f>
        <v/>
      </c>
      <c r="O87" s="74" t="str">
        <f>IF(A87="","",IF(COUNTIFS(Deadlines!$D$6:$D$205,A87,Deadlines!$H$6:$H$205,"&lt;&gt;Completed",Deadlines!$G$6:$G$205,"&lt;&gt;")=0,"",MINIFS(Deadlines!$G$6:$G$205,Deadlines!$D$6:$D$205,A87,Deadlines!$H$6:$H$205,"&lt;&gt;Completed")))</f>
        <v/>
      </c>
      <c r="P87" s="78"/>
      <c r="Q87" s="78"/>
      <c r="R87" s="65"/>
      <c r="S87" s="78"/>
    </row>
    <row r="88" ht="24.0" customHeight="1">
      <c r="A88" s="78"/>
      <c r="B88" s="78"/>
      <c r="C88" s="78"/>
      <c r="D88" s="99"/>
      <c r="E88" s="99"/>
      <c r="F88" s="78"/>
      <c r="G88" s="99"/>
      <c r="H88" s="99"/>
      <c r="I88" s="99"/>
      <c r="J88" s="99"/>
      <c r="K88" s="99"/>
      <c r="L88" s="99"/>
      <c r="M88" s="99"/>
      <c r="N88" s="66" t="str">
        <f>IF(A88="","",IF(COUNT(I88:M88)&lt;5,"",ROUND(SUMPRODUCT(I88:M88,Setup!$A$12:$E$12)/5,0)))</f>
        <v/>
      </c>
      <c r="O88" s="74" t="str">
        <f>IF(A88="","",IF(COUNTIFS(Deadlines!$D$6:$D$205,A88,Deadlines!$H$6:$H$205,"&lt;&gt;Completed",Deadlines!$G$6:$G$205,"&lt;&gt;")=0,"",MINIFS(Deadlines!$G$6:$G$205,Deadlines!$D$6:$D$205,A88,Deadlines!$H$6:$H$205,"&lt;&gt;Completed")))</f>
        <v/>
      </c>
      <c r="P88" s="78"/>
      <c r="Q88" s="78"/>
      <c r="R88" s="65"/>
      <c r="S88" s="78"/>
    </row>
    <row r="89" ht="24.0" customHeight="1">
      <c r="A89" s="78"/>
      <c r="B89" s="78"/>
      <c r="C89" s="78"/>
      <c r="D89" s="99"/>
      <c r="E89" s="99"/>
      <c r="F89" s="78"/>
      <c r="G89" s="99"/>
      <c r="H89" s="99"/>
      <c r="I89" s="99"/>
      <c r="J89" s="99"/>
      <c r="K89" s="99"/>
      <c r="L89" s="99"/>
      <c r="M89" s="99"/>
      <c r="N89" s="66" t="str">
        <f>IF(A89="","",IF(COUNT(I89:M89)&lt;5,"",ROUND(SUMPRODUCT(I89:M89,Setup!$A$12:$E$12)/5,0)))</f>
        <v/>
      </c>
      <c r="O89" s="74" t="str">
        <f>IF(A89="","",IF(COUNTIFS(Deadlines!$D$6:$D$205,A89,Deadlines!$H$6:$H$205,"&lt;&gt;Completed",Deadlines!$G$6:$G$205,"&lt;&gt;")=0,"",MINIFS(Deadlines!$G$6:$G$205,Deadlines!$D$6:$D$205,A89,Deadlines!$H$6:$H$205,"&lt;&gt;Completed")))</f>
        <v/>
      </c>
      <c r="P89" s="78"/>
      <c r="Q89" s="78"/>
      <c r="R89" s="65"/>
      <c r="S89" s="78"/>
    </row>
    <row r="90" ht="24.0" customHeight="1">
      <c r="A90" s="78"/>
      <c r="B90" s="78"/>
      <c r="C90" s="78"/>
      <c r="D90" s="99"/>
      <c r="E90" s="99"/>
      <c r="F90" s="78"/>
      <c r="G90" s="99"/>
      <c r="H90" s="99"/>
      <c r="I90" s="99"/>
      <c r="J90" s="99"/>
      <c r="K90" s="99"/>
      <c r="L90" s="99"/>
      <c r="M90" s="99"/>
      <c r="N90" s="66" t="str">
        <f>IF(A90="","",IF(COUNT(I90:M90)&lt;5,"",ROUND(SUMPRODUCT(I90:M90,Setup!$A$12:$E$12)/5,0)))</f>
        <v/>
      </c>
      <c r="O90" s="74" t="str">
        <f>IF(A90="","",IF(COUNTIFS(Deadlines!$D$6:$D$205,A90,Deadlines!$H$6:$H$205,"&lt;&gt;Completed",Deadlines!$G$6:$G$205,"&lt;&gt;")=0,"",MINIFS(Deadlines!$G$6:$G$205,Deadlines!$D$6:$D$205,A90,Deadlines!$H$6:$H$205,"&lt;&gt;Completed")))</f>
        <v/>
      </c>
      <c r="P90" s="78"/>
      <c r="Q90" s="78"/>
      <c r="R90" s="65"/>
      <c r="S90" s="78"/>
    </row>
    <row r="91" ht="24.0" customHeight="1">
      <c r="A91" s="78"/>
      <c r="B91" s="78"/>
      <c r="C91" s="78"/>
      <c r="D91" s="99"/>
      <c r="E91" s="99"/>
      <c r="F91" s="78"/>
      <c r="G91" s="99"/>
      <c r="H91" s="99"/>
      <c r="I91" s="99"/>
      <c r="J91" s="99"/>
      <c r="K91" s="99"/>
      <c r="L91" s="99"/>
      <c r="M91" s="99"/>
      <c r="N91" s="66" t="str">
        <f>IF(A91="","",IF(COUNT(I91:M91)&lt;5,"",ROUND(SUMPRODUCT(I91:M91,Setup!$A$12:$E$12)/5,0)))</f>
        <v/>
      </c>
      <c r="O91" s="74" t="str">
        <f>IF(A91="","",IF(COUNTIFS(Deadlines!$D$6:$D$205,A91,Deadlines!$H$6:$H$205,"&lt;&gt;Completed",Deadlines!$G$6:$G$205,"&lt;&gt;")=0,"",MINIFS(Deadlines!$G$6:$G$205,Deadlines!$D$6:$D$205,A91,Deadlines!$H$6:$H$205,"&lt;&gt;Completed")))</f>
        <v/>
      </c>
      <c r="P91" s="78"/>
      <c r="Q91" s="78"/>
      <c r="R91" s="65"/>
      <c r="S91" s="78"/>
    </row>
    <row r="92" ht="24.0" customHeight="1">
      <c r="A92" s="78"/>
      <c r="B92" s="78"/>
      <c r="C92" s="78"/>
      <c r="D92" s="99"/>
      <c r="E92" s="99"/>
      <c r="F92" s="78"/>
      <c r="G92" s="99"/>
      <c r="H92" s="99"/>
      <c r="I92" s="99"/>
      <c r="J92" s="99"/>
      <c r="K92" s="99"/>
      <c r="L92" s="99"/>
      <c r="M92" s="99"/>
      <c r="N92" s="66" t="str">
        <f>IF(A92="","",IF(COUNT(I92:M92)&lt;5,"",ROUND(SUMPRODUCT(I92:M92,Setup!$A$12:$E$12)/5,0)))</f>
        <v/>
      </c>
      <c r="O92" s="74" t="str">
        <f>IF(A92="","",IF(COUNTIFS(Deadlines!$D$6:$D$205,A92,Deadlines!$H$6:$H$205,"&lt;&gt;Completed",Deadlines!$G$6:$G$205,"&lt;&gt;")=0,"",MINIFS(Deadlines!$G$6:$G$205,Deadlines!$D$6:$D$205,A92,Deadlines!$H$6:$H$205,"&lt;&gt;Completed")))</f>
        <v/>
      </c>
      <c r="P92" s="78"/>
      <c r="Q92" s="78"/>
      <c r="R92" s="65"/>
      <c r="S92" s="78"/>
    </row>
    <row r="93" ht="24.0" customHeight="1">
      <c r="A93" s="78"/>
      <c r="B93" s="78"/>
      <c r="C93" s="78"/>
      <c r="D93" s="99"/>
      <c r="E93" s="99"/>
      <c r="F93" s="78"/>
      <c r="G93" s="99"/>
      <c r="H93" s="99"/>
      <c r="I93" s="99"/>
      <c r="J93" s="99"/>
      <c r="K93" s="99"/>
      <c r="L93" s="99"/>
      <c r="M93" s="99"/>
      <c r="N93" s="66" t="str">
        <f>IF(A93="","",IF(COUNT(I93:M93)&lt;5,"",ROUND(SUMPRODUCT(I93:M93,Setup!$A$12:$E$12)/5,0)))</f>
        <v/>
      </c>
      <c r="O93" s="74" t="str">
        <f>IF(A93="","",IF(COUNTIFS(Deadlines!$D$6:$D$205,A93,Deadlines!$H$6:$H$205,"&lt;&gt;Completed",Deadlines!$G$6:$G$205,"&lt;&gt;")=0,"",MINIFS(Deadlines!$G$6:$G$205,Deadlines!$D$6:$D$205,A93,Deadlines!$H$6:$H$205,"&lt;&gt;Completed")))</f>
        <v/>
      </c>
      <c r="P93" s="78"/>
      <c r="Q93" s="78"/>
      <c r="R93" s="65"/>
      <c r="S93" s="78"/>
    </row>
    <row r="94" ht="24.0" customHeight="1">
      <c r="A94" s="78"/>
      <c r="B94" s="78"/>
      <c r="C94" s="78"/>
      <c r="D94" s="99"/>
      <c r="E94" s="99"/>
      <c r="F94" s="78"/>
      <c r="G94" s="99"/>
      <c r="H94" s="99"/>
      <c r="I94" s="99"/>
      <c r="J94" s="99"/>
      <c r="K94" s="99"/>
      <c r="L94" s="99"/>
      <c r="M94" s="99"/>
      <c r="N94" s="66" t="str">
        <f>IF(A94="","",IF(COUNT(I94:M94)&lt;5,"",ROUND(SUMPRODUCT(I94:M94,Setup!$A$12:$E$12)/5,0)))</f>
        <v/>
      </c>
      <c r="O94" s="74" t="str">
        <f>IF(A94="","",IF(COUNTIFS(Deadlines!$D$6:$D$205,A94,Deadlines!$H$6:$H$205,"&lt;&gt;Completed",Deadlines!$G$6:$G$205,"&lt;&gt;")=0,"",MINIFS(Deadlines!$G$6:$G$205,Deadlines!$D$6:$D$205,A94,Deadlines!$H$6:$H$205,"&lt;&gt;Completed")))</f>
        <v/>
      </c>
      <c r="P94" s="78"/>
      <c r="Q94" s="78"/>
      <c r="R94" s="65"/>
      <c r="S94" s="78"/>
    </row>
    <row r="95" ht="24.0" customHeight="1">
      <c r="A95" s="78"/>
      <c r="B95" s="78"/>
      <c r="C95" s="78"/>
      <c r="D95" s="99"/>
      <c r="E95" s="99"/>
      <c r="F95" s="78"/>
      <c r="G95" s="99"/>
      <c r="H95" s="99"/>
      <c r="I95" s="99"/>
      <c r="J95" s="99"/>
      <c r="K95" s="99"/>
      <c r="L95" s="99"/>
      <c r="M95" s="99"/>
      <c r="N95" s="66" t="str">
        <f>IF(A95="","",IF(COUNT(I95:M95)&lt;5,"",ROUND(SUMPRODUCT(I95:M95,Setup!$A$12:$E$12)/5,0)))</f>
        <v/>
      </c>
      <c r="O95" s="74" t="str">
        <f>IF(A95="","",IF(COUNTIFS(Deadlines!$D$6:$D$205,A95,Deadlines!$H$6:$H$205,"&lt;&gt;Completed",Deadlines!$G$6:$G$205,"&lt;&gt;")=0,"",MINIFS(Deadlines!$G$6:$G$205,Deadlines!$D$6:$D$205,A95,Deadlines!$H$6:$H$205,"&lt;&gt;Completed")))</f>
        <v/>
      </c>
      <c r="P95" s="78"/>
      <c r="Q95" s="78"/>
      <c r="R95" s="65"/>
      <c r="S95" s="78"/>
    </row>
    <row r="96" ht="24.0" customHeight="1">
      <c r="A96" s="78"/>
      <c r="B96" s="78"/>
      <c r="C96" s="78"/>
      <c r="D96" s="99"/>
      <c r="E96" s="99"/>
      <c r="F96" s="78"/>
      <c r="G96" s="99"/>
      <c r="H96" s="99"/>
      <c r="I96" s="99"/>
      <c r="J96" s="99"/>
      <c r="K96" s="99"/>
      <c r="L96" s="99"/>
      <c r="M96" s="99"/>
      <c r="N96" s="66" t="str">
        <f>IF(A96="","",IF(COUNT(I96:M96)&lt;5,"",ROUND(SUMPRODUCT(I96:M96,Setup!$A$12:$E$12)/5,0)))</f>
        <v/>
      </c>
      <c r="O96" s="74" t="str">
        <f>IF(A96="","",IF(COUNTIFS(Deadlines!$D$6:$D$205,A96,Deadlines!$H$6:$H$205,"&lt;&gt;Completed",Deadlines!$G$6:$G$205,"&lt;&gt;")=0,"",MINIFS(Deadlines!$G$6:$G$205,Deadlines!$D$6:$D$205,A96,Deadlines!$H$6:$H$205,"&lt;&gt;Completed")))</f>
        <v/>
      </c>
      <c r="P96" s="78"/>
      <c r="Q96" s="78"/>
      <c r="R96" s="65"/>
      <c r="S96" s="78"/>
    </row>
    <row r="97" ht="24.0" customHeight="1">
      <c r="A97" s="78"/>
      <c r="B97" s="78"/>
      <c r="C97" s="78"/>
      <c r="D97" s="99"/>
      <c r="E97" s="99"/>
      <c r="F97" s="78"/>
      <c r="G97" s="99"/>
      <c r="H97" s="99"/>
      <c r="I97" s="99"/>
      <c r="J97" s="99"/>
      <c r="K97" s="99"/>
      <c r="L97" s="99"/>
      <c r="M97" s="99"/>
      <c r="N97" s="66" t="str">
        <f>IF(A97="","",IF(COUNT(I97:M97)&lt;5,"",ROUND(SUMPRODUCT(I97:M97,Setup!$A$12:$E$12)/5,0)))</f>
        <v/>
      </c>
      <c r="O97" s="74" t="str">
        <f>IF(A97="","",IF(COUNTIFS(Deadlines!$D$6:$D$205,A97,Deadlines!$H$6:$H$205,"&lt;&gt;Completed",Deadlines!$G$6:$G$205,"&lt;&gt;")=0,"",MINIFS(Deadlines!$G$6:$G$205,Deadlines!$D$6:$D$205,A97,Deadlines!$H$6:$H$205,"&lt;&gt;Completed")))</f>
        <v/>
      </c>
      <c r="P97" s="78"/>
      <c r="Q97" s="78"/>
      <c r="R97" s="65"/>
      <c r="S97" s="78"/>
    </row>
    <row r="98" ht="24.0" customHeight="1">
      <c r="A98" s="78"/>
      <c r="B98" s="78"/>
      <c r="C98" s="78"/>
      <c r="D98" s="99"/>
      <c r="E98" s="99"/>
      <c r="F98" s="78"/>
      <c r="G98" s="99"/>
      <c r="H98" s="99"/>
      <c r="I98" s="99"/>
      <c r="J98" s="99"/>
      <c r="K98" s="99"/>
      <c r="L98" s="99"/>
      <c r="M98" s="99"/>
      <c r="N98" s="66" t="str">
        <f>IF(A98="","",IF(COUNT(I98:M98)&lt;5,"",ROUND(SUMPRODUCT(I98:M98,Setup!$A$12:$E$12)/5,0)))</f>
        <v/>
      </c>
      <c r="O98" s="74" t="str">
        <f>IF(A98="","",IF(COUNTIFS(Deadlines!$D$6:$D$205,A98,Deadlines!$H$6:$H$205,"&lt;&gt;Completed",Deadlines!$G$6:$G$205,"&lt;&gt;")=0,"",MINIFS(Deadlines!$G$6:$G$205,Deadlines!$D$6:$D$205,A98,Deadlines!$H$6:$H$205,"&lt;&gt;Completed")))</f>
        <v/>
      </c>
      <c r="P98" s="78"/>
      <c r="Q98" s="78"/>
      <c r="R98" s="65"/>
      <c r="S98" s="78"/>
    </row>
    <row r="99" ht="24.0" customHeight="1">
      <c r="A99" s="78"/>
      <c r="B99" s="78"/>
      <c r="C99" s="78"/>
      <c r="D99" s="99"/>
      <c r="E99" s="99"/>
      <c r="F99" s="78"/>
      <c r="G99" s="99"/>
      <c r="H99" s="99"/>
      <c r="I99" s="99"/>
      <c r="J99" s="99"/>
      <c r="K99" s="99"/>
      <c r="L99" s="99"/>
      <c r="M99" s="99"/>
      <c r="N99" s="66" t="str">
        <f>IF(A99="","",IF(COUNT(I99:M99)&lt;5,"",ROUND(SUMPRODUCT(I99:M99,Setup!$A$12:$E$12)/5,0)))</f>
        <v/>
      </c>
      <c r="O99" s="74" t="str">
        <f>IF(A99="","",IF(COUNTIFS(Deadlines!$D$6:$D$205,A99,Deadlines!$H$6:$H$205,"&lt;&gt;Completed",Deadlines!$G$6:$G$205,"&lt;&gt;")=0,"",MINIFS(Deadlines!$G$6:$G$205,Deadlines!$D$6:$D$205,A99,Deadlines!$H$6:$H$205,"&lt;&gt;Completed")))</f>
        <v/>
      </c>
      <c r="P99" s="78"/>
      <c r="Q99" s="78"/>
      <c r="R99" s="65"/>
      <c r="S99" s="78"/>
    </row>
    <row r="100" ht="24.0" customHeight="1">
      <c r="A100" s="78"/>
      <c r="B100" s="78"/>
      <c r="C100" s="78"/>
      <c r="D100" s="99"/>
      <c r="E100" s="99"/>
      <c r="F100" s="78"/>
      <c r="G100" s="99"/>
      <c r="H100" s="99"/>
      <c r="I100" s="99"/>
      <c r="J100" s="99"/>
      <c r="K100" s="99"/>
      <c r="L100" s="99"/>
      <c r="M100" s="99"/>
      <c r="N100" s="66" t="str">
        <f>IF(A100="","",IF(COUNT(I100:M100)&lt;5,"",ROUND(SUMPRODUCT(I100:M100,Setup!$A$12:$E$12)/5,0)))</f>
        <v/>
      </c>
      <c r="O100" s="74" t="str">
        <f>IF(A100="","",IF(COUNTIFS(Deadlines!$D$6:$D$205,A100,Deadlines!$H$6:$H$205,"&lt;&gt;Completed",Deadlines!$G$6:$G$205,"&lt;&gt;")=0,"",MINIFS(Deadlines!$G$6:$G$205,Deadlines!$D$6:$D$205,A100,Deadlines!$H$6:$H$205,"&lt;&gt;Completed")))</f>
        <v/>
      </c>
      <c r="P100" s="78"/>
      <c r="Q100" s="78"/>
      <c r="R100" s="65"/>
      <c r="S100" s="78"/>
    </row>
    <row r="101" ht="24.0" customHeight="1">
      <c r="A101" s="78"/>
      <c r="B101" s="78"/>
      <c r="C101" s="78"/>
      <c r="D101" s="99"/>
      <c r="E101" s="99"/>
      <c r="F101" s="78"/>
      <c r="G101" s="99"/>
      <c r="H101" s="99"/>
      <c r="I101" s="99"/>
      <c r="J101" s="99"/>
      <c r="K101" s="99"/>
      <c r="L101" s="99"/>
      <c r="M101" s="99"/>
      <c r="N101" s="66" t="str">
        <f>IF(A101="","",IF(COUNT(I101:M101)&lt;5,"",ROUND(SUMPRODUCT(I101:M101,Setup!$A$12:$E$12)/5,0)))</f>
        <v/>
      </c>
      <c r="O101" s="74" t="str">
        <f>IF(A101="","",IF(COUNTIFS(Deadlines!$D$6:$D$205,A101,Deadlines!$H$6:$H$205,"&lt;&gt;Completed",Deadlines!$G$6:$G$205,"&lt;&gt;")=0,"",MINIFS(Deadlines!$G$6:$G$205,Deadlines!$D$6:$D$205,A101,Deadlines!$H$6:$H$205,"&lt;&gt;Completed")))</f>
        <v/>
      </c>
      <c r="P101" s="78"/>
      <c r="Q101" s="78"/>
      <c r="R101" s="65"/>
      <c r="S101" s="78"/>
    </row>
    <row r="102" ht="24.0" customHeight="1">
      <c r="A102" s="78"/>
      <c r="B102" s="78"/>
      <c r="C102" s="78"/>
      <c r="D102" s="99"/>
      <c r="E102" s="99"/>
      <c r="F102" s="78"/>
      <c r="G102" s="99"/>
      <c r="H102" s="99"/>
      <c r="I102" s="99"/>
      <c r="J102" s="99"/>
      <c r="K102" s="99"/>
      <c r="L102" s="99"/>
      <c r="M102" s="99"/>
      <c r="N102" s="66" t="str">
        <f>IF(A102="","",IF(COUNT(I102:M102)&lt;5,"",ROUND(SUMPRODUCT(I102:M102,Setup!$A$12:$E$12)/5,0)))</f>
        <v/>
      </c>
      <c r="O102" s="74" t="str">
        <f>IF(A102="","",IF(COUNTIFS(Deadlines!$D$6:$D$205,A102,Deadlines!$H$6:$H$205,"&lt;&gt;Completed",Deadlines!$G$6:$G$205,"&lt;&gt;")=0,"",MINIFS(Deadlines!$G$6:$G$205,Deadlines!$D$6:$D$205,A102,Deadlines!$H$6:$H$205,"&lt;&gt;Completed")))</f>
        <v/>
      </c>
      <c r="P102" s="78"/>
      <c r="Q102" s="78"/>
      <c r="R102" s="65"/>
      <c r="S102" s="78"/>
    </row>
    <row r="103" ht="24.0" customHeight="1">
      <c r="A103" s="78"/>
      <c r="B103" s="78"/>
      <c r="C103" s="78"/>
      <c r="D103" s="99"/>
      <c r="E103" s="99"/>
      <c r="F103" s="78"/>
      <c r="G103" s="99"/>
      <c r="H103" s="99"/>
      <c r="I103" s="99"/>
      <c r="J103" s="99"/>
      <c r="K103" s="99"/>
      <c r="L103" s="99"/>
      <c r="M103" s="99"/>
      <c r="N103" s="66" t="str">
        <f>IF(A103="","",IF(COUNT(I103:M103)&lt;5,"",ROUND(SUMPRODUCT(I103:M103,Setup!$A$12:$E$12)/5,0)))</f>
        <v/>
      </c>
      <c r="O103" s="74" t="str">
        <f>IF(A103="","",IF(COUNTIFS(Deadlines!$D$6:$D$205,A103,Deadlines!$H$6:$H$205,"&lt;&gt;Completed",Deadlines!$G$6:$G$205,"&lt;&gt;")=0,"",MINIFS(Deadlines!$G$6:$G$205,Deadlines!$D$6:$D$205,A103,Deadlines!$H$6:$H$205,"&lt;&gt;Completed")))</f>
        <v/>
      </c>
      <c r="P103" s="78"/>
      <c r="Q103" s="78"/>
      <c r="R103" s="65"/>
      <c r="S103" s="78"/>
    </row>
    <row r="104" ht="24.0" customHeight="1">
      <c r="A104" s="78"/>
      <c r="B104" s="78"/>
      <c r="C104" s="78"/>
      <c r="D104" s="99"/>
      <c r="E104" s="99"/>
      <c r="F104" s="78"/>
      <c r="G104" s="99"/>
      <c r="H104" s="99"/>
      <c r="I104" s="99"/>
      <c r="J104" s="99"/>
      <c r="K104" s="99"/>
      <c r="L104" s="99"/>
      <c r="M104" s="99"/>
      <c r="N104" s="66" t="str">
        <f>IF(A104="","",IF(COUNT(I104:M104)&lt;5,"",ROUND(SUMPRODUCT(I104:M104,Setup!$A$12:$E$12)/5,0)))</f>
        <v/>
      </c>
      <c r="O104" s="74" t="str">
        <f>IF(A104="","",IF(COUNTIFS(Deadlines!$D$6:$D$205,A104,Deadlines!$H$6:$H$205,"&lt;&gt;Completed",Deadlines!$G$6:$G$205,"&lt;&gt;")=0,"",MINIFS(Deadlines!$G$6:$G$205,Deadlines!$D$6:$D$205,A104,Deadlines!$H$6:$H$205,"&lt;&gt;Completed")))</f>
        <v/>
      </c>
      <c r="P104" s="78"/>
      <c r="Q104" s="78"/>
      <c r="R104" s="65"/>
      <c r="S104" s="78"/>
    </row>
    <row r="105" ht="24.0" customHeight="1">
      <c r="A105" s="78"/>
      <c r="B105" s="78"/>
      <c r="C105" s="78"/>
      <c r="D105" s="99"/>
      <c r="E105" s="99"/>
      <c r="F105" s="78"/>
      <c r="G105" s="99"/>
      <c r="H105" s="99"/>
      <c r="I105" s="99"/>
      <c r="J105" s="99"/>
      <c r="K105" s="99"/>
      <c r="L105" s="99"/>
      <c r="M105" s="99"/>
      <c r="N105" s="66" t="str">
        <f>IF(A105="","",IF(COUNT(I105:M105)&lt;5,"",ROUND(SUMPRODUCT(I105:M105,Setup!$A$12:$E$12)/5,0)))</f>
        <v/>
      </c>
      <c r="O105" s="74" t="str">
        <f>IF(A105="","",IF(COUNTIFS(Deadlines!$D$6:$D$205,A105,Deadlines!$H$6:$H$205,"&lt;&gt;Completed",Deadlines!$G$6:$G$205,"&lt;&gt;")=0,"",MINIFS(Deadlines!$G$6:$G$205,Deadlines!$D$6:$D$205,A105,Deadlines!$H$6:$H$205,"&lt;&gt;Completed")))</f>
        <v/>
      </c>
      <c r="P105" s="78"/>
      <c r="Q105" s="78"/>
      <c r="R105" s="65"/>
      <c r="S105" s="78"/>
    </row>
    <row r="106" ht="24.0" customHeight="1">
      <c r="A106" s="78"/>
      <c r="B106" s="78"/>
      <c r="C106" s="78"/>
      <c r="D106" s="99"/>
      <c r="E106" s="99"/>
      <c r="F106" s="78"/>
      <c r="G106" s="99"/>
      <c r="H106" s="99"/>
      <c r="I106" s="99"/>
      <c r="J106" s="99"/>
      <c r="K106" s="99"/>
      <c r="L106" s="99"/>
      <c r="M106" s="99"/>
      <c r="N106" s="66" t="str">
        <f>IF(A106="","",IF(COUNT(I106:M106)&lt;5,"",ROUND(SUMPRODUCT(I106:M106,Setup!$A$12:$E$12)/5,0)))</f>
        <v/>
      </c>
      <c r="O106" s="74" t="str">
        <f>IF(A106="","",IF(COUNTIFS(Deadlines!$D$6:$D$205,A106,Deadlines!$H$6:$H$205,"&lt;&gt;Completed",Deadlines!$G$6:$G$205,"&lt;&gt;")=0,"",MINIFS(Deadlines!$G$6:$G$205,Deadlines!$D$6:$D$205,A106,Deadlines!$H$6:$H$205,"&lt;&gt;Completed")))</f>
        <v/>
      </c>
      <c r="P106" s="78"/>
      <c r="Q106" s="78"/>
      <c r="R106" s="65"/>
      <c r="S106" s="78"/>
    </row>
    <row r="107" ht="24.0" customHeight="1">
      <c r="A107" s="78"/>
      <c r="B107" s="78"/>
      <c r="C107" s="78"/>
      <c r="D107" s="99"/>
      <c r="E107" s="99"/>
      <c r="F107" s="78"/>
      <c r="G107" s="99"/>
      <c r="H107" s="99"/>
      <c r="I107" s="99"/>
      <c r="J107" s="99"/>
      <c r="K107" s="99"/>
      <c r="L107" s="99"/>
      <c r="M107" s="99"/>
      <c r="N107" s="66" t="str">
        <f>IF(A107="","",IF(COUNT(I107:M107)&lt;5,"",ROUND(SUMPRODUCT(I107:M107,Setup!$A$12:$E$12)/5,0)))</f>
        <v/>
      </c>
      <c r="O107" s="74" t="str">
        <f>IF(A107="","",IF(COUNTIFS(Deadlines!$D$6:$D$205,A107,Deadlines!$H$6:$H$205,"&lt;&gt;Completed",Deadlines!$G$6:$G$205,"&lt;&gt;")=0,"",MINIFS(Deadlines!$G$6:$G$205,Deadlines!$D$6:$D$205,A107,Deadlines!$H$6:$H$205,"&lt;&gt;Completed")))</f>
        <v/>
      </c>
      <c r="P107" s="78"/>
      <c r="Q107" s="78"/>
      <c r="R107" s="65"/>
      <c r="S107" s="78"/>
    </row>
    <row r="108" ht="24.0" customHeight="1">
      <c r="A108" s="78"/>
      <c r="B108" s="78"/>
      <c r="C108" s="78"/>
      <c r="D108" s="99"/>
      <c r="E108" s="99"/>
      <c r="F108" s="78"/>
      <c r="G108" s="99"/>
      <c r="H108" s="99"/>
      <c r="I108" s="99"/>
      <c r="J108" s="99"/>
      <c r="K108" s="99"/>
      <c r="L108" s="99"/>
      <c r="M108" s="99"/>
      <c r="N108" s="66" t="str">
        <f>IF(A108="","",IF(COUNT(I108:M108)&lt;5,"",ROUND(SUMPRODUCT(I108:M108,Setup!$A$12:$E$12)/5,0)))</f>
        <v/>
      </c>
      <c r="O108" s="74" t="str">
        <f>IF(A108="","",IF(COUNTIFS(Deadlines!$D$6:$D$205,A108,Deadlines!$H$6:$H$205,"&lt;&gt;Completed",Deadlines!$G$6:$G$205,"&lt;&gt;")=0,"",MINIFS(Deadlines!$G$6:$G$205,Deadlines!$D$6:$D$205,A108,Deadlines!$H$6:$H$205,"&lt;&gt;Completed")))</f>
        <v/>
      </c>
      <c r="P108" s="78"/>
      <c r="Q108" s="78"/>
      <c r="R108" s="65"/>
      <c r="S108" s="78"/>
    </row>
    <row r="109" ht="24.0" customHeight="1">
      <c r="A109" s="78"/>
      <c r="B109" s="78"/>
      <c r="C109" s="78"/>
      <c r="D109" s="99"/>
      <c r="E109" s="99"/>
      <c r="F109" s="78"/>
      <c r="G109" s="99"/>
      <c r="H109" s="99"/>
      <c r="I109" s="99"/>
      <c r="J109" s="99"/>
      <c r="K109" s="99"/>
      <c r="L109" s="99"/>
      <c r="M109" s="99"/>
      <c r="N109" s="66" t="str">
        <f>IF(A109="","",IF(COUNT(I109:M109)&lt;5,"",ROUND(SUMPRODUCT(I109:M109,Setup!$A$12:$E$12)/5,0)))</f>
        <v/>
      </c>
      <c r="O109" s="74" t="str">
        <f>IF(A109="","",IF(COUNTIFS(Deadlines!$D$6:$D$205,A109,Deadlines!$H$6:$H$205,"&lt;&gt;Completed",Deadlines!$G$6:$G$205,"&lt;&gt;")=0,"",MINIFS(Deadlines!$G$6:$G$205,Deadlines!$D$6:$D$205,A109,Deadlines!$H$6:$H$205,"&lt;&gt;Completed")))</f>
        <v/>
      </c>
      <c r="P109" s="78"/>
      <c r="Q109" s="78"/>
      <c r="R109" s="65"/>
      <c r="S109" s="78"/>
    </row>
    <row r="110" ht="24.0" customHeight="1">
      <c r="A110" s="78"/>
      <c r="B110" s="78"/>
      <c r="C110" s="78"/>
      <c r="D110" s="99"/>
      <c r="E110" s="99"/>
      <c r="F110" s="78"/>
      <c r="G110" s="99"/>
      <c r="H110" s="99"/>
      <c r="I110" s="99"/>
      <c r="J110" s="99"/>
      <c r="K110" s="99"/>
      <c r="L110" s="99"/>
      <c r="M110" s="99"/>
      <c r="N110" s="66" t="str">
        <f>IF(A110="","",IF(COUNT(I110:M110)&lt;5,"",ROUND(SUMPRODUCT(I110:M110,Setup!$A$12:$E$12)/5,0)))</f>
        <v/>
      </c>
      <c r="O110" s="74" t="str">
        <f>IF(A110="","",IF(COUNTIFS(Deadlines!$D$6:$D$205,A110,Deadlines!$H$6:$H$205,"&lt;&gt;Completed",Deadlines!$G$6:$G$205,"&lt;&gt;")=0,"",MINIFS(Deadlines!$G$6:$G$205,Deadlines!$D$6:$D$205,A110,Deadlines!$H$6:$H$205,"&lt;&gt;Completed")))</f>
        <v/>
      </c>
      <c r="P110" s="78"/>
      <c r="Q110" s="78"/>
      <c r="R110" s="65"/>
      <c r="S110" s="78"/>
    </row>
    <row r="111" ht="24.0" customHeight="1">
      <c r="A111" s="78"/>
      <c r="B111" s="78"/>
      <c r="C111" s="78"/>
      <c r="D111" s="99"/>
      <c r="E111" s="99"/>
      <c r="F111" s="78"/>
      <c r="G111" s="99"/>
      <c r="H111" s="99"/>
      <c r="I111" s="99"/>
      <c r="J111" s="99"/>
      <c r="K111" s="99"/>
      <c r="L111" s="99"/>
      <c r="M111" s="99"/>
      <c r="N111" s="66" t="str">
        <f>IF(A111="","",IF(COUNT(I111:M111)&lt;5,"",ROUND(SUMPRODUCT(I111:M111,Setup!$A$12:$E$12)/5,0)))</f>
        <v/>
      </c>
      <c r="O111" s="74" t="str">
        <f>IF(A111="","",IF(COUNTIFS(Deadlines!$D$6:$D$205,A111,Deadlines!$H$6:$H$205,"&lt;&gt;Completed",Deadlines!$G$6:$G$205,"&lt;&gt;")=0,"",MINIFS(Deadlines!$G$6:$G$205,Deadlines!$D$6:$D$205,A111,Deadlines!$H$6:$H$205,"&lt;&gt;Completed")))</f>
        <v/>
      </c>
      <c r="P111" s="78"/>
      <c r="Q111" s="78"/>
      <c r="R111" s="65"/>
      <c r="S111" s="78"/>
    </row>
    <row r="112" ht="24.0" customHeight="1">
      <c r="A112" s="78"/>
      <c r="B112" s="78"/>
      <c r="C112" s="78"/>
      <c r="D112" s="99"/>
      <c r="E112" s="99"/>
      <c r="F112" s="78"/>
      <c r="G112" s="99"/>
      <c r="H112" s="99"/>
      <c r="I112" s="99"/>
      <c r="J112" s="99"/>
      <c r="K112" s="99"/>
      <c r="L112" s="99"/>
      <c r="M112" s="99"/>
      <c r="N112" s="66" t="str">
        <f>IF(A112="","",IF(COUNT(I112:M112)&lt;5,"",ROUND(SUMPRODUCT(I112:M112,Setup!$A$12:$E$12)/5,0)))</f>
        <v/>
      </c>
      <c r="O112" s="74" t="str">
        <f>IF(A112="","",IF(COUNTIFS(Deadlines!$D$6:$D$205,A112,Deadlines!$H$6:$H$205,"&lt;&gt;Completed",Deadlines!$G$6:$G$205,"&lt;&gt;")=0,"",MINIFS(Deadlines!$G$6:$G$205,Deadlines!$D$6:$D$205,A112,Deadlines!$H$6:$H$205,"&lt;&gt;Completed")))</f>
        <v/>
      </c>
      <c r="P112" s="78"/>
      <c r="Q112" s="78"/>
      <c r="R112" s="65"/>
      <c r="S112" s="78"/>
    </row>
    <row r="113" ht="24.0" customHeight="1">
      <c r="A113" s="78"/>
      <c r="B113" s="78"/>
      <c r="C113" s="78"/>
      <c r="D113" s="99"/>
      <c r="E113" s="99"/>
      <c r="F113" s="78"/>
      <c r="G113" s="99"/>
      <c r="H113" s="99"/>
      <c r="I113" s="99"/>
      <c r="J113" s="99"/>
      <c r="K113" s="99"/>
      <c r="L113" s="99"/>
      <c r="M113" s="99"/>
      <c r="N113" s="66" t="str">
        <f>IF(A113="","",IF(COUNT(I113:M113)&lt;5,"",ROUND(SUMPRODUCT(I113:M113,Setup!$A$12:$E$12)/5,0)))</f>
        <v/>
      </c>
      <c r="O113" s="74" t="str">
        <f>IF(A113="","",IF(COUNTIFS(Deadlines!$D$6:$D$205,A113,Deadlines!$H$6:$H$205,"&lt;&gt;Completed",Deadlines!$G$6:$G$205,"&lt;&gt;")=0,"",MINIFS(Deadlines!$G$6:$G$205,Deadlines!$D$6:$D$205,A113,Deadlines!$H$6:$H$205,"&lt;&gt;Completed")))</f>
        <v/>
      </c>
      <c r="P113" s="78"/>
      <c r="Q113" s="78"/>
      <c r="R113" s="65"/>
      <c r="S113" s="78"/>
    </row>
    <row r="114" ht="24.0" customHeight="1">
      <c r="A114" s="78"/>
      <c r="B114" s="78"/>
      <c r="C114" s="78"/>
      <c r="D114" s="99"/>
      <c r="E114" s="99"/>
      <c r="F114" s="78"/>
      <c r="G114" s="99"/>
      <c r="H114" s="99"/>
      <c r="I114" s="99"/>
      <c r="J114" s="99"/>
      <c r="K114" s="99"/>
      <c r="L114" s="99"/>
      <c r="M114" s="99"/>
      <c r="N114" s="66" t="str">
        <f>IF(A114="","",IF(COUNT(I114:M114)&lt;5,"",ROUND(SUMPRODUCT(I114:M114,Setup!$A$12:$E$12)/5,0)))</f>
        <v/>
      </c>
      <c r="O114" s="74" t="str">
        <f>IF(A114="","",IF(COUNTIFS(Deadlines!$D$6:$D$205,A114,Deadlines!$H$6:$H$205,"&lt;&gt;Completed",Deadlines!$G$6:$G$205,"&lt;&gt;")=0,"",MINIFS(Deadlines!$G$6:$G$205,Deadlines!$D$6:$D$205,A114,Deadlines!$H$6:$H$205,"&lt;&gt;Completed")))</f>
        <v/>
      </c>
      <c r="P114" s="78"/>
      <c r="Q114" s="78"/>
      <c r="R114" s="65"/>
      <c r="S114" s="78"/>
    </row>
    <row r="115" ht="24.0" customHeight="1">
      <c r="A115" s="78"/>
      <c r="B115" s="78"/>
      <c r="C115" s="78"/>
      <c r="D115" s="99"/>
      <c r="E115" s="99"/>
      <c r="F115" s="78"/>
      <c r="G115" s="99"/>
      <c r="H115" s="99"/>
      <c r="I115" s="99"/>
      <c r="J115" s="99"/>
      <c r="K115" s="99"/>
      <c r="L115" s="99"/>
      <c r="M115" s="99"/>
      <c r="N115" s="66" t="str">
        <f>IF(A115="","",IF(COUNT(I115:M115)&lt;5,"",ROUND(SUMPRODUCT(I115:M115,Setup!$A$12:$E$12)/5,0)))</f>
        <v/>
      </c>
      <c r="O115" s="74" t="str">
        <f>IF(A115="","",IF(COUNTIFS(Deadlines!$D$6:$D$205,A115,Deadlines!$H$6:$H$205,"&lt;&gt;Completed",Deadlines!$G$6:$G$205,"&lt;&gt;")=0,"",MINIFS(Deadlines!$G$6:$G$205,Deadlines!$D$6:$D$205,A115,Deadlines!$H$6:$H$205,"&lt;&gt;Completed")))</f>
        <v/>
      </c>
      <c r="P115" s="78"/>
      <c r="Q115" s="78"/>
      <c r="R115" s="65"/>
      <c r="S115" s="78"/>
    </row>
    <row r="116" ht="24.0" customHeight="1">
      <c r="A116" s="78"/>
      <c r="B116" s="78"/>
      <c r="C116" s="78"/>
      <c r="D116" s="99"/>
      <c r="E116" s="99"/>
      <c r="F116" s="78"/>
      <c r="G116" s="99"/>
      <c r="H116" s="99"/>
      <c r="I116" s="99"/>
      <c r="J116" s="99"/>
      <c r="K116" s="99"/>
      <c r="L116" s="99"/>
      <c r="M116" s="99"/>
      <c r="N116" s="66" t="str">
        <f>IF(A116="","",IF(COUNT(I116:M116)&lt;5,"",ROUND(SUMPRODUCT(I116:M116,Setup!$A$12:$E$12)/5,0)))</f>
        <v/>
      </c>
      <c r="O116" s="74" t="str">
        <f>IF(A116="","",IF(COUNTIFS(Deadlines!$D$6:$D$205,A116,Deadlines!$H$6:$H$205,"&lt;&gt;Completed",Deadlines!$G$6:$G$205,"&lt;&gt;")=0,"",MINIFS(Deadlines!$G$6:$G$205,Deadlines!$D$6:$D$205,A116,Deadlines!$H$6:$H$205,"&lt;&gt;Completed")))</f>
        <v/>
      </c>
      <c r="P116" s="78"/>
      <c r="Q116" s="78"/>
      <c r="R116" s="65"/>
      <c r="S116" s="78"/>
    </row>
    <row r="117" ht="24.0" customHeight="1">
      <c r="A117" s="78"/>
      <c r="B117" s="78"/>
      <c r="C117" s="78"/>
      <c r="D117" s="99"/>
      <c r="E117" s="99"/>
      <c r="F117" s="78"/>
      <c r="G117" s="99"/>
      <c r="H117" s="99"/>
      <c r="I117" s="99"/>
      <c r="J117" s="99"/>
      <c r="K117" s="99"/>
      <c r="L117" s="99"/>
      <c r="M117" s="99"/>
      <c r="N117" s="66" t="str">
        <f>IF(A117="","",IF(COUNT(I117:M117)&lt;5,"",ROUND(SUMPRODUCT(I117:M117,Setup!$A$12:$E$12)/5,0)))</f>
        <v/>
      </c>
      <c r="O117" s="74" t="str">
        <f>IF(A117="","",IF(COUNTIFS(Deadlines!$D$6:$D$205,A117,Deadlines!$H$6:$H$205,"&lt;&gt;Completed",Deadlines!$G$6:$G$205,"&lt;&gt;")=0,"",MINIFS(Deadlines!$G$6:$G$205,Deadlines!$D$6:$D$205,A117,Deadlines!$H$6:$H$205,"&lt;&gt;Completed")))</f>
        <v/>
      </c>
      <c r="P117" s="78"/>
      <c r="Q117" s="78"/>
      <c r="R117" s="65"/>
      <c r="S117" s="78"/>
    </row>
    <row r="118" ht="24.0" customHeight="1">
      <c r="A118" s="78"/>
      <c r="B118" s="78"/>
      <c r="C118" s="78"/>
      <c r="D118" s="99"/>
      <c r="E118" s="99"/>
      <c r="F118" s="78"/>
      <c r="G118" s="99"/>
      <c r="H118" s="99"/>
      <c r="I118" s="99"/>
      <c r="J118" s="99"/>
      <c r="K118" s="99"/>
      <c r="L118" s="99"/>
      <c r="M118" s="99"/>
      <c r="N118" s="66" t="str">
        <f>IF(A118="","",IF(COUNT(I118:M118)&lt;5,"",ROUND(SUMPRODUCT(I118:M118,Setup!$A$12:$E$12)/5,0)))</f>
        <v/>
      </c>
      <c r="O118" s="74" t="str">
        <f>IF(A118="","",IF(COUNTIFS(Deadlines!$D$6:$D$205,A118,Deadlines!$H$6:$H$205,"&lt;&gt;Completed",Deadlines!$G$6:$G$205,"&lt;&gt;")=0,"",MINIFS(Deadlines!$G$6:$G$205,Deadlines!$D$6:$D$205,A118,Deadlines!$H$6:$H$205,"&lt;&gt;Completed")))</f>
        <v/>
      </c>
      <c r="P118" s="78"/>
      <c r="Q118" s="78"/>
      <c r="R118" s="65"/>
      <c r="S118" s="78"/>
    </row>
    <row r="119" ht="24.0" customHeight="1">
      <c r="A119" s="78"/>
      <c r="B119" s="78"/>
      <c r="C119" s="78"/>
      <c r="D119" s="99"/>
      <c r="E119" s="99"/>
      <c r="F119" s="78"/>
      <c r="G119" s="99"/>
      <c r="H119" s="99"/>
      <c r="I119" s="99"/>
      <c r="J119" s="99"/>
      <c r="K119" s="99"/>
      <c r="L119" s="99"/>
      <c r="M119" s="99"/>
      <c r="N119" s="66" t="str">
        <f>IF(A119="","",IF(COUNT(I119:M119)&lt;5,"",ROUND(SUMPRODUCT(I119:M119,Setup!$A$12:$E$12)/5,0)))</f>
        <v/>
      </c>
      <c r="O119" s="74" t="str">
        <f>IF(A119="","",IF(COUNTIFS(Deadlines!$D$6:$D$205,A119,Deadlines!$H$6:$H$205,"&lt;&gt;Completed",Deadlines!$G$6:$G$205,"&lt;&gt;")=0,"",MINIFS(Deadlines!$G$6:$G$205,Deadlines!$D$6:$D$205,A119,Deadlines!$H$6:$H$205,"&lt;&gt;Completed")))</f>
        <v/>
      </c>
      <c r="P119" s="78"/>
      <c r="Q119" s="78"/>
      <c r="R119" s="65"/>
      <c r="S119" s="78"/>
    </row>
    <row r="120" ht="24.0" customHeight="1">
      <c r="A120" s="78"/>
      <c r="B120" s="78"/>
      <c r="C120" s="78"/>
      <c r="D120" s="99"/>
      <c r="E120" s="99"/>
      <c r="F120" s="78"/>
      <c r="G120" s="99"/>
      <c r="H120" s="99"/>
      <c r="I120" s="99"/>
      <c r="J120" s="99"/>
      <c r="K120" s="99"/>
      <c r="L120" s="99"/>
      <c r="M120" s="99"/>
      <c r="N120" s="66" t="str">
        <f>IF(A120="","",IF(COUNT(I120:M120)&lt;5,"",ROUND(SUMPRODUCT(I120:M120,Setup!$A$12:$E$12)/5,0)))</f>
        <v/>
      </c>
      <c r="O120" s="74" t="str">
        <f>IF(A120="","",IF(COUNTIFS(Deadlines!$D$6:$D$205,A120,Deadlines!$H$6:$H$205,"&lt;&gt;Completed",Deadlines!$G$6:$G$205,"&lt;&gt;")=0,"",MINIFS(Deadlines!$G$6:$G$205,Deadlines!$D$6:$D$205,A120,Deadlines!$H$6:$H$205,"&lt;&gt;Completed")))</f>
        <v/>
      </c>
      <c r="P120" s="78"/>
      <c r="Q120" s="78"/>
      <c r="R120" s="65"/>
      <c r="S120" s="78"/>
    </row>
    <row r="121" ht="24.0" customHeight="1">
      <c r="A121" s="78"/>
      <c r="B121" s="78"/>
      <c r="C121" s="78"/>
      <c r="D121" s="99"/>
      <c r="E121" s="99"/>
      <c r="F121" s="78"/>
      <c r="G121" s="99"/>
      <c r="H121" s="99"/>
      <c r="I121" s="99"/>
      <c r="J121" s="99"/>
      <c r="K121" s="99"/>
      <c r="L121" s="99"/>
      <c r="M121" s="99"/>
      <c r="N121" s="66" t="str">
        <f>IF(A121="","",IF(COUNT(I121:M121)&lt;5,"",ROUND(SUMPRODUCT(I121:M121,Setup!$A$12:$E$12)/5,0)))</f>
        <v/>
      </c>
      <c r="O121" s="74" t="str">
        <f>IF(A121="","",IF(COUNTIFS(Deadlines!$D$6:$D$205,A121,Deadlines!$H$6:$H$205,"&lt;&gt;Completed",Deadlines!$G$6:$G$205,"&lt;&gt;")=0,"",MINIFS(Deadlines!$G$6:$G$205,Deadlines!$D$6:$D$205,A121,Deadlines!$H$6:$H$205,"&lt;&gt;Completed")))</f>
        <v/>
      </c>
      <c r="P121" s="78"/>
      <c r="Q121" s="78"/>
      <c r="R121" s="65"/>
      <c r="S121" s="78"/>
    </row>
    <row r="122" ht="24.0" customHeight="1">
      <c r="A122" s="78"/>
      <c r="B122" s="78"/>
      <c r="C122" s="78"/>
      <c r="D122" s="99"/>
      <c r="E122" s="99"/>
      <c r="F122" s="78"/>
      <c r="G122" s="99"/>
      <c r="H122" s="99"/>
      <c r="I122" s="99"/>
      <c r="J122" s="99"/>
      <c r="K122" s="99"/>
      <c r="L122" s="99"/>
      <c r="M122" s="99"/>
      <c r="N122" s="66" t="str">
        <f>IF(A122="","",IF(COUNT(I122:M122)&lt;5,"",ROUND(SUMPRODUCT(I122:M122,Setup!$A$12:$E$12)/5,0)))</f>
        <v/>
      </c>
      <c r="O122" s="74" t="str">
        <f>IF(A122="","",IF(COUNTIFS(Deadlines!$D$6:$D$205,A122,Deadlines!$H$6:$H$205,"&lt;&gt;Completed",Deadlines!$G$6:$G$205,"&lt;&gt;")=0,"",MINIFS(Deadlines!$G$6:$G$205,Deadlines!$D$6:$D$205,A122,Deadlines!$H$6:$H$205,"&lt;&gt;Completed")))</f>
        <v/>
      </c>
      <c r="P122" s="78"/>
      <c r="Q122" s="78"/>
      <c r="R122" s="65"/>
      <c r="S122" s="78"/>
    </row>
    <row r="123" ht="24.0" customHeight="1">
      <c r="A123" s="78"/>
      <c r="B123" s="78"/>
      <c r="C123" s="78"/>
      <c r="D123" s="99"/>
      <c r="E123" s="99"/>
      <c r="F123" s="78"/>
      <c r="G123" s="99"/>
      <c r="H123" s="99"/>
      <c r="I123" s="99"/>
      <c r="J123" s="99"/>
      <c r="K123" s="99"/>
      <c r="L123" s="99"/>
      <c r="M123" s="99"/>
      <c r="N123" s="66" t="str">
        <f>IF(A123="","",IF(COUNT(I123:M123)&lt;5,"",ROUND(SUMPRODUCT(I123:M123,Setup!$A$12:$E$12)/5,0)))</f>
        <v/>
      </c>
      <c r="O123" s="74" t="str">
        <f>IF(A123="","",IF(COUNTIFS(Deadlines!$D$6:$D$205,A123,Deadlines!$H$6:$H$205,"&lt;&gt;Completed",Deadlines!$G$6:$G$205,"&lt;&gt;")=0,"",MINIFS(Deadlines!$G$6:$G$205,Deadlines!$D$6:$D$205,A123,Deadlines!$H$6:$H$205,"&lt;&gt;Completed")))</f>
        <v/>
      </c>
      <c r="P123" s="78"/>
      <c r="Q123" s="78"/>
      <c r="R123" s="65"/>
      <c r="S123" s="78"/>
    </row>
    <row r="124" ht="24.0" customHeight="1">
      <c r="A124" s="78"/>
      <c r="B124" s="78"/>
      <c r="C124" s="78"/>
      <c r="D124" s="99"/>
      <c r="E124" s="99"/>
      <c r="F124" s="78"/>
      <c r="G124" s="99"/>
      <c r="H124" s="99"/>
      <c r="I124" s="99"/>
      <c r="J124" s="99"/>
      <c r="K124" s="99"/>
      <c r="L124" s="99"/>
      <c r="M124" s="99"/>
      <c r="N124" s="66" t="str">
        <f>IF(A124="","",IF(COUNT(I124:M124)&lt;5,"",ROUND(SUMPRODUCT(I124:M124,Setup!$A$12:$E$12)/5,0)))</f>
        <v/>
      </c>
      <c r="O124" s="74" t="str">
        <f>IF(A124="","",IF(COUNTIFS(Deadlines!$D$6:$D$205,A124,Deadlines!$H$6:$H$205,"&lt;&gt;Completed",Deadlines!$G$6:$G$205,"&lt;&gt;")=0,"",MINIFS(Deadlines!$G$6:$G$205,Deadlines!$D$6:$D$205,A124,Deadlines!$H$6:$H$205,"&lt;&gt;Completed")))</f>
        <v/>
      </c>
      <c r="P124" s="78"/>
      <c r="Q124" s="78"/>
      <c r="R124" s="65"/>
      <c r="S124" s="78"/>
    </row>
    <row r="125" ht="24.0" customHeight="1">
      <c r="A125" s="78"/>
      <c r="B125" s="78"/>
      <c r="C125" s="78"/>
      <c r="D125" s="99"/>
      <c r="E125" s="99"/>
      <c r="F125" s="78"/>
      <c r="G125" s="99"/>
      <c r="H125" s="99"/>
      <c r="I125" s="99"/>
      <c r="J125" s="99"/>
      <c r="K125" s="99"/>
      <c r="L125" s="99"/>
      <c r="M125" s="99"/>
      <c r="N125" s="66" t="str">
        <f>IF(A125="","",IF(COUNT(I125:M125)&lt;5,"",ROUND(SUMPRODUCT(I125:M125,Setup!$A$12:$E$12)/5,0)))</f>
        <v/>
      </c>
      <c r="O125" s="74" t="str">
        <f>IF(A125="","",IF(COUNTIFS(Deadlines!$D$6:$D$205,A125,Deadlines!$H$6:$H$205,"&lt;&gt;Completed",Deadlines!$G$6:$G$205,"&lt;&gt;")=0,"",MINIFS(Deadlines!$G$6:$G$205,Deadlines!$D$6:$D$205,A125,Deadlines!$H$6:$H$205,"&lt;&gt;Completed")))</f>
        <v/>
      </c>
      <c r="P125" s="78"/>
      <c r="Q125" s="78"/>
      <c r="R125" s="65"/>
      <c r="S125" s="78"/>
    </row>
    <row r="126" ht="24.0" customHeight="1">
      <c r="A126" s="78"/>
      <c r="B126" s="78"/>
      <c r="C126" s="78"/>
      <c r="D126" s="99"/>
      <c r="E126" s="99"/>
      <c r="F126" s="78"/>
      <c r="G126" s="99"/>
      <c r="H126" s="99"/>
      <c r="I126" s="99"/>
      <c r="J126" s="99"/>
      <c r="K126" s="99"/>
      <c r="L126" s="99"/>
      <c r="M126" s="99"/>
      <c r="N126" s="66" t="str">
        <f>IF(A126="","",IF(COUNT(I126:M126)&lt;5,"",ROUND(SUMPRODUCT(I126:M126,Setup!$A$12:$E$12)/5,0)))</f>
        <v/>
      </c>
      <c r="O126" s="74" t="str">
        <f>IF(A126="","",IF(COUNTIFS(Deadlines!$D$6:$D$205,A126,Deadlines!$H$6:$H$205,"&lt;&gt;Completed",Deadlines!$G$6:$G$205,"&lt;&gt;")=0,"",MINIFS(Deadlines!$G$6:$G$205,Deadlines!$D$6:$D$205,A126,Deadlines!$H$6:$H$205,"&lt;&gt;Completed")))</f>
        <v/>
      </c>
      <c r="P126" s="78"/>
      <c r="Q126" s="78"/>
      <c r="R126" s="65"/>
      <c r="S126" s="78"/>
    </row>
    <row r="127" ht="24.0" customHeight="1">
      <c r="A127" s="78"/>
      <c r="B127" s="78"/>
      <c r="C127" s="78"/>
      <c r="D127" s="99"/>
      <c r="E127" s="99"/>
      <c r="F127" s="78"/>
      <c r="G127" s="99"/>
      <c r="H127" s="99"/>
      <c r="I127" s="99"/>
      <c r="J127" s="99"/>
      <c r="K127" s="99"/>
      <c r="L127" s="99"/>
      <c r="M127" s="99"/>
      <c r="N127" s="66" t="str">
        <f>IF(A127="","",IF(COUNT(I127:M127)&lt;5,"",ROUND(SUMPRODUCT(I127:M127,Setup!$A$12:$E$12)/5,0)))</f>
        <v/>
      </c>
      <c r="O127" s="74" t="str">
        <f>IF(A127="","",IF(COUNTIFS(Deadlines!$D$6:$D$205,A127,Deadlines!$H$6:$H$205,"&lt;&gt;Completed",Deadlines!$G$6:$G$205,"&lt;&gt;")=0,"",MINIFS(Deadlines!$G$6:$G$205,Deadlines!$D$6:$D$205,A127,Deadlines!$H$6:$H$205,"&lt;&gt;Completed")))</f>
        <v/>
      </c>
      <c r="P127" s="78"/>
      <c r="Q127" s="78"/>
      <c r="R127" s="65"/>
      <c r="S127" s="78"/>
    </row>
    <row r="128" ht="24.0" customHeight="1">
      <c r="A128" s="78"/>
      <c r="B128" s="78"/>
      <c r="C128" s="78"/>
      <c r="D128" s="99"/>
      <c r="E128" s="99"/>
      <c r="F128" s="78"/>
      <c r="G128" s="99"/>
      <c r="H128" s="99"/>
      <c r="I128" s="99"/>
      <c r="J128" s="99"/>
      <c r="K128" s="99"/>
      <c r="L128" s="99"/>
      <c r="M128" s="99"/>
      <c r="N128" s="66" t="str">
        <f>IF(A128="","",IF(COUNT(I128:M128)&lt;5,"",ROUND(SUMPRODUCT(I128:M128,Setup!$A$12:$E$12)/5,0)))</f>
        <v/>
      </c>
      <c r="O128" s="74" t="str">
        <f>IF(A128="","",IF(COUNTIFS(Deadlines!$D$6:$D$205,A128,Deadlines!$H$6:$H$205,"&lt;&gt;Completed",Deadlines!$G$6:$G$205,"&lt;&gt;")=0,"",MINIFS(Deadlines!$G$6:$G$205,Deadlines!$D$6:$D$205,A128,Deadlines!$H$6:$H$205,"&lt;&gt;Completed")))</f>
        <v/>
      </c>
      <c r="P128" s="78"/>
      <c r="Q128" s="78"/>
      <c r="R128" s="65"/>
      <c r="S128" s="78"/>
    </row>
    <row r="129" ht="24.0" customHeight="1">
      <c r="A129" s="78"/>
      <c r="B129" s="78"/>
      <c r="C129" s="78"/>
      <c r="D129" s="99"/>
      <c r="E129" s="99"/>
      <c r="F129" s="78"/>
      <c r="G129" s="99"/>
      <c r="H129" s="99"/>
      <c r="I129" s="99"/>
      <c r="J129" s="99"/>
      <c r="K129" s="99"/>
      <c r="L129" s="99"/>
      <c r="M129" s="99"/>
      <c r="N129" s="66" t="str">
        <f>IF(A129="","",IF(COUNT(I129:M129)&lt;5,"",ROUND(SUMPRODUCT(I129:M129,Setup!$A$12:$E$12)/5,0)))</f>
        <v/>
      </c>
      <c r="O129" s="74" t="str">
        <f>IF(A129="","",IF(COUNTIFS(Deadlines!$D$6:$D$205,A129,Deadlines!$H$6:$H$205,"&lt;&gt;Completed",Deadlines!$G$6:$G$205,"&lt;&gt;")=0,"",MINIFS(Deadlines!$G$6:$G$205,Deadlines!$D$6:$D$205,A129,Deadlines!$H$6:$H$205,"&lt;&gt;Completed")))</f>
        <v/>
      </c>
      <c r="P129" s="78"/>
      <c r="Q129" s="78"/>
      <c r="R129" s="65"/>
      <c r="S129" s="78"/>
    </row>
    <row r="130" ht="24.0" customHeight="1">
      <c r="A130" s="78"/>
      <c r="B130" s="78"/>
      <c r="C130" s="78"/>
      <c r="D130" s="99"/>
      <c r="E130" s="99"/>
      <c r="F130" s="78"/>
      <c r="G130" s="99"/>
      <c r="H130" s="99"/>
      <c r="I130" s="99"/>
      <c r="J130" s="99"/>
      <c r="K130" s="99"/>
      <c r="L130" s="99"/>
      <c r="M130" s="99"/>
      <c r="N130" s="66" t="str">
        <f>IF(A130="","",IF(COUNT(I130:M130)&lt;5,"",ROUND(SUMPRODUCT(I130:M130,Setup!$A$12:$E$12)/5,0)))</f>
        <v/>
      </c>
      <c r="O130" s="74" t="str">
        <f>IF(A130="","",IF(COUNTIFS(Deadlines!$D$6:$D$205,A130,Deadlines!$H$6:$H$205,"&lt;&gt;Completed",Deadlines!$G$6:$G$205,"&lt;&gt;")=0,"",MINIFS(Deadlines!$G$6:$G$205,Deadlines!$D$6:$D$205,A130,Deadlines!$H$6:$H$205,"&lt;&gt;Completed")))</f>
        <v/>
      </c>
      <c r="P130" s="78"/>
      <c r="Q130" s="78"/>
      <c r="R130" s="65"/>
      <c r="S130" s="78"/>
    </row>
    <row r="131" ht="24.0" customHeight="1">
      <c r="A131" s="78"/>
      <c r="B131" s="78"/>
      <c r="C131" s="78"/>
      <c r="D131" s="99"/>
      <c r="E131" s="99"/>
      <c r="F131" s="78"/>
      <c r="G131" s="99"/>
      <c r="H131" s="99"/>
      <c r="I131" s="99"/>
      <c r="J131" s="99"/>
      <c r="K131" s="99"/>
      <c r="L131" s="99"/>
      <c r="M131" s="99"/>
      <c r="N131" s="66" t="str">
        <f>IF(A131="","",IF(COUNT(I131:M131)&lt;5,"",ROUND(SUMPRODUCT(I131:M131,Setup!$A$12:$E$12)/5,0)))</f>
        <v/>
      </c>
      <c r="O131" s="74" t="str">
        <f>IF(A131="","",IF(COUNTIFS(Deadlines!$D$6:$D$205,A131,Deadlines!$H$6:$H$205,"&lt;&gt;Completed",Deadlines!$G$6:$G$205,"&lt;&gt;")=0,"",MINIFS(Deadlines!$G$6:$G$205,Deadlines!$D$6:$D$205,A131,Deadlines!$H$6:$H$205,"&lt;&gt;Completed")))</f>
        <v/>
      </c>
      <c r="P131" s="78"/>
      <c r="Q131" s="78"/>
      <c r="R131" s="65"/>
      <c r="S131" s="78"/>
    </row>
    <row r="132" ht="24.0" customHeight="1">
      <c r="A132" s="78"/>
      <c r="B132" s="78"/>
      <c r="C132" s="78"/>
      <c r="D132" s="99"/>
      <c r="E132" s="99"/>
      <c r="F132" s="78"/>
      <c r="G132" s="99"/>
      <c r="H132" s="99"/>
      <c r="I132" s="99"/>
      <c r="J132" s="99"/>
      <c r="K132" s="99"/>
      <c r="L132" s="99"/>
      <c r="M132" s="99"/>
      <c r="N132" s="66" t="str">
        <f>IF(A132="","",IF(COUNT(I132:M132)&lt;5,"",ROUND(SUMPRODUCT(I132:M132,Setup!$A$12:$E$12)/5,0)))</f>
        <v/>
      </c>
      <c r="O132" s="74" t="str">
        <f>IF(A132="","",IF(COUNTIFS(Deadlines!$D$6:$D$205,A132,Deadlines!$H$6:$H$205,"&lt;&gt;Completed",Deadlines!$G$6:$G$205,"&lt;&gt;")=0,"",MINIFS(Deadlines!$G$6:$G$205,Deadlines!$D$6:$D$205,A132,Deadlines!$H$6:$H$205,"&lt;&gt;Completed")))</f>
        <v/>
      </c>
      <c r="P132" s="78"/>
      <c r="Q132" s="78"/>
      <c r="R132" s="65"/>
      <c r="S132" s="78"/>
    </row>
    <row r="133" ht="24.0" customHeight="1">
      <c r="A133" s="78"/>
      <c r="B133" s="78"/>
      <c r="C133" s="78"/>
      <c r="D133" s="99"/>
      <c r="E133" s="99"/>
      <c r="F133" s="78"/>
      <c r="G133" s="99"/>
      <c r="H133" s="99"/>
      <c r="I133" s="99"/>
      <c r="J133" s="99"/>
      <c r="K133" s="99"/>
      <c r="L133" s="99"/>
      <c r="M133" s="99"/>
      <c r="N133" s="66" t="str">
        <f>IF(A133="","",IF(COUNT(I133:M133)&lt;5,"",ROUND(SUMPRODUCT(I133:M133,Setup!$A$12:$E$12)/5,0)))</f>
        <v/>
      </c>
      <c r="O133" s="74" t="str">
        <f>IF(A133="","",IF(COUNTIFS(Deadlines!$D$6:$D$205,A133,Deadlines!$H$6:$H$205,"&lt;&gt;Completed",Deadlines!$G$6:$G$205,"&lt;&gt;")=0,"",MINIFS(Deadlines!$G$6:$G$205,Deadlines!$D$6:$D$205,A133,Deadlines!$H$6:$H$205,"&lt;&gt;Completed")))</f>
        <v/>
      </c>
      <c r="P133" s="78"/>
      <c r="Q133" s="78"/>
      <c r="R133" s="65"/>
      <c r="S133" s="78"/>
    </row>
    <row r="134" ht="24.0" customHeight="1">
      <c r="A134" s="78"/>
      <c r="B134" s="78"/>
      <c r="C134" s="78"/>
      <c r="D134" s="99"/>
      <c r="E134" s="99"/>
      <c r="F134" s="78"/>
      <c r="G134" s="99"/>
      <c r="H134" s="99"/>
      <c r="I134" s="99"/>
      <c r="J134" s="99"/>
      <c r="K134" s="99"/>
      <c r="L134" s="99"/>
      <c r="M134" s="99"/>
      <c r="N134" s="66" t="str">
        <f>IF(A134="","",IF(COUNT(I134:M134)&lt;5,"",ROUND(SUMPRODUCT(I134:M134,Setup!$A$12:$E$12)/5,0)))</f>
        <v/>
      </c>
      <c r="O134" s="74" t="str">
        <f>IF(A134="","",IF(COUNTIFS(Deadlines!$D$6:$D$205,A134,Deadlines!$H$6:$H$205,"&lt;&gt;Completed",Deadlines!$G$6:$G$205,"&lt;&gt;")=0,"",MINIFS(Deadlines!$G$6:$G$205,Deadlines!$D$6:$D$205,A134,Deadlines!$H$6:$H$205,"&lt;&gt;Completed")))</f>
        <v/>
      </c>
      <c r="P134" s="78"/>
      <c r="Q134" s="78"/>
      <c r="R134" s="65"/>
      <c r="S134" s="78"/>
    </row>
    <row r="135" ht="24.0" customHeight="1">
      <c r="A135" s="78"/>
      <c r="B135" s="78"/>
      <c r="C135" s="78"/>
      <c r="D135" s="99"/>
      <c r="E135" s="99"/>
      <c r="F135" s="78"/>
      <c r="G135" s="99"/>
      <c r="H135" s="99"/>
      <c r="I135" s="99"/>
      <c r="J135" s="99"/>
      <c r="K135" s="99"/>
      <c r="L135" s="99"/>
      <c r="M135" s="99"/>
      <c r="N135" s="66" t="str">
        <f>IF(A135="","",IF(COUNT(I135:M135)&lt;5,"",ROUND(SUMPRODUCT(I135:M135,Setup!$A$12:$E$12)/5,0)))</f>
        <v/>
      </c>
      <c r="O135" s="74" t="str">
        <f>IF(A135="","",IF(COUNTIFS(Deadlines!$D$6:$D$205,A135,Deadlines!$H$6:$H$205,"&lt;&gt;Completed",Deadlines!$G$6:$G$205,"&lt;&gt;")=0,"",MINIFS(Deadlines!$G$6:$G$205,Deadlines!$D$6:$D$205,A135,Deadlines!$H$6:$H$205,"&lt;&gt;Completed")))</f>
        <v/>
      </c>
      <c r="P135" s="78"/>
      <c r="Q135" s="78"/>
      <c r="R135" s="65"/>
      <c r="S135" s="78"/>
    </row>
    <row r="136" ht="24.0" customHeight="1">
      <c r="A136" s="78"/>
      <c r="B136" s="78"/>
      <c r="C136" s="78"/>
      <c r="D136" s="99"/>
      <c r="E136" s="99"/>
      <c r="F136" s="78"/>
      <c r="G136" s="99"/>
      <c r="H136" s="99"/>
      <c r="I136" s="99"/>
      <c r="J136" s="99"/>
      <c r="K136" s="99"/>
      <c r="L136" s="99"/>
      <c r="M136" s="99"/>
      <c r="N136" s="66" t="str">
        <f>IF(A136="","",IF(COUNT(I136:M136)&lt;5,"",ROUND(SUMPRODUCT(I136:M136,Setup!$A$12:$E$12)/5,0)))</f>
        <v/>
      </c>
      <c r="O136" s="74" t="str">
        <f>IF(A136="","",IF(COUNTIFS(Deadlines!$D$6:$D$205,A136,Deadlines!$H$6:$H$205,"&lt;&gt;Completed",Deadlines!$G$6:$G$205,"&lt;&gt;")=0,"",MINIFS(Deadlines!$G$6:$G$205,Deadlines!$D$6:$D$205,A136,Deadlines!$H$6:$H$205,"&lt;&gt;Completed")))</f>
        <v/>
      </c>
      <c r="P136" s="78"/>
      <c r="Q136" s="78"/>
      <c r="R136" s="65"/>
      <c r="S136" s="78"/>
    </row>
    <row r="137" ht="24.0" customHeight="1">
      <c r="A137" s="78"/>
      <c r="B137" s="78"/>
      <c r="C137" s="78"/>
      <c r="D137" s="99"/>
      <c r="E137" s="99"/>
      <c r="F137" s="78"/>
      <c r="G137" s="99"/>
      <c r="H137" s="99"/>
      <c r="I137" s="99"/>
      <c r="J137" s="99"/>
      <c r="K137" s="99"/>
      <c r="L137" s="99"/>
      <c r="M137" s="99"/>
      <c r="N137" s="66" t="str">
        <f>IF(A137="","",IF(COUNT(I137:M137)&lt;5,"",ROUND(SUMPRODUCT(I137:M137,Setup!$A$12:$E$12)/5,0)))</f>
        <v/>
      </c>
      <c r="O137" s="74" t="str">
        <f>IF(A137="","",IF(COUNTIFS(Deadlines!$D$6:$D$205,A137,Deadlines!$H$6:$H$205,"&lt;&gt;Completed",Deadlines!$G$6:$G$205,"&lt;&gt;")=0,"",MINIFS(Deadlines!$G$6:$G$205,Deadlines!$D$6:$D$205,A137,Deadlines!$H$6:$H$205,"&lt;&gt;Completed")))</f>
        <v/>
      </c>
      <c r="P137" s="78"/>
      <c r="Q137" s="78"/>
      <c r="R137" s="65"/>
      <c r="S137" s="78"/>
    </row>
    <row r="138" ht="24.0" customHeight="1">
      <c r="A138" s="78"/>
      <c r="B138" s="78"/>
      <c r="C138" s="78"/>
      <c r="D138" s="99"/>
      <c r="E138" s="99"/>
      <c r="F138" s="78"/>
      <c r="G138" s="99"/>
      <c r="H138" s="99"/>
      <c r="I138" s="99"/>
      <c r="J138" s="99"/>
      <c r="K138" s="99"/>
      <c r="L138" s="99"/>
      <c r="M138" s="99"/>
      <c r="N138" s="66" t="str">
        <f>IF(A138="","",IF(COUNT(I138:M138)&lt;5,"",ROUND(SUMPRODUCT(I138:M138,Setup!$A$12:$E$12)/5,0)))</f>
        <v/>
      </c>
      <c r="O138" s="74" t="str">
        <f>IF(A138="","",IF(COUNTIFS(Deadlines!$D$6:$D$205,A138,Deadlines!$H$6:$H$205,"&lt;&gt;Completed",Deadlines!$G$6:$G$205,"&lt;&gt;")=0,"",MINIFS(Deadlines!$G$6:$G$205,Deadlines!$D$6:$D$205,A138,Deadlines!$H$6:$H$205,"&lt;&gt;Completed")))</f>
        <v/>
      </c>
      <c r="P138" s="78"/>
      <c r="Q138" s="78"/>
      <c r="R138" s="65"/>
      <c r="S138" s="78"/>
    </row>
    <row r="139" ht="24.0" customHeight="1">
      <c r="A139" s="78"/>
      <c r="B139" s="78"/>
      <c r="C139" s="78"/>
      <c r="D139" s="99"/>
      <c r="E139" s="99"/>
      <c r="F139" s="78"/>
      <c r="G139" s="99"/>
      <c r="H139" s="99"/>
      <c r="I139" s="99"/>
      <c r="J139" s="99"/>
      <c r="K139" s="99"/>
      <c r="L139" s="99"/>
      <c r="M139" s="99"/>
      <c r="N139" s="66" t="str">
        <f>IF(A139="","",IF(COUNT(I139:M139)&lt;5,"",ROUND(SUMPRODUCT(I139:M139,Setup!$A$12:$E$12)/5,0)))</f>
        <v/>
      </c>
      <c r="O139" s="74" t="str">
        <f>IF(A139="","",IF(COUNTIFS(Deadlines!$D$6:$D$205,A139,Deadlines!$H$6:$H$205,"&lt;&gt;Completed",Deadlines!$G$6:$G$205,"&lt;&gt;")=0,"",MINIFS(Deadlines!$G$6:$G$205,Deadlines!$D$6:$D$205,A139,Deadlines!$H$6:$H$205,"&lt;&gt;Completed")))</f>
        <v/>
      </c>
      <c r="P139" s="78"/>
      <c r="Q139" s="78"/>
      <c r="R139" s="65"/>
      <c r="S139" s="78"/>
    </row>
    <row r="140" ht="24.0" customHeight="1">
      <c r="A140" s="78"/>
      <c r="B140" s="78"/>
      <c r="C140" s="78"/>
      <c r="D140" s="99"/>
      <c r="E140" s="99"/>
      <c r="F140" s="78"/>
      <c r="G140" s="99"/>
      <c r="H140" s="99"/>
      <c r="I140" s="99"/>
      <c r="J140" s="99"/>
      <c r="K140" s="99"/>
      <c r="L140" s="99"/>
      <c r="M140" s="99"/>
      <c r="N140" s="66" t="str">
        <f>IF(A140="","",IF(COUNT(I140:M140)&lt;5,"",ROUND(SUMPRODUCT(I140:M140,Setup!$A$12:$E$12)/5,0)))</f>
        <v/>
      </c>
      <c r="O140" s="74" t="str">
        <f>IF(A140="","",IF(COUNTIFS(Deadlines!$D$6:$D$205,A140,Deadlines!$H$6:$H$205,"&lt;&gt;Completed",Deadlines!$G$6:$G$205,"&lt;&gt;")=0,"",MINIFS(Deadlines!$G$6:$G$205,Deadlines!$D$6:$D$205,A140,Deadlines!$H$6:$H$205,"&lt;&gt;Completed")))</f>
        <v/>
      </c>
      <c r="P140" s="78"/>
      <c r="Q140" s="78"/>
      <c r="R140" s="65"/>
      <c r="S140" s="78"/>
    </row>
    <row r="141" ht="24.0" customHeight="1">
      <c r="A141" s="78"/>
      <c r="B141" s="78"/>
      <c r="C141" s="78"/>
      <c r="D141" s="99"/>
      <c r="E141" s="99"/>
      <c r="F141" s="78"/>
      <c r="G141" s="99"/>
      <c r="H141" s="99"/>
      <c r="I141" s="99"/>
      <c r="J141" s="99"/>
      <c r="K141" s="99"/>
      <c r="L141" s="99"/>
      <c r="M141" s="99"/>
      <c r="N141" s="66" t="str">
        <f>IF(A141="","",IF(COUNT(I141:M141)&lt;5,"",ROUND(SUMPRODUCT(I141:M141,Setup!$A$12:$E$12)/5,0)))</f>
        <v/>
      </c>
      <c r="O141" s="74" t="str">
        <f>IF(A141="","",IF(COUNTIFS(Deadlines!$D$6:$D$205,A141,Deadlines!$H$6:$H$205,"&lt;&gt;Completed",Deadlines!$G$6:$G$205,"&lt;&gt;")=0,"",MINIFS(Deadlines!$G$6:$G$205,Deadlines!$D$6:$D$205,A141,Deadlines!$H$6:$H$205,"&lt;&gt;Completed")))</f>
        <v/>
      </c>
      <c r="P141" s="78"/>
      <c r="Q141" s="78"/>
      <c r="R141" s="65"/>
      <c r="S141" s="78"/>
    </row>
    <row r="142" ht="24.0" customHeight="1">
      <c r="A142" s="78"/>
      <c r="B142" s="78"/>
      <c r="C142" s="78"/>
      <c r="D142" s="99"/>
      <c r="E142" s="99"/>
      <c r="F142" s="78"/>
      <c r="G142" s="99"/>
      <c r="H142" s="99"/>
      <c r="I142" s="99"/>
      <c r="J142" s="99"/>
      <c r="K142" s="99"/>
      <c r="L142" s="99"/>
      <c r="M142" s="99"/>
      <c r="N142" s="66" t="str">
        <f>IF(A142="","",IF(COUNT(I142:M142)&lt;5,"",ROUND(SUMPRODUCT(I142:M142,Setup!$A$12:$E$12)/5,0)))</f>
        <v/>
      </c>
      <c r="O142" s="74" t="str">
        <f>IF(A142="","",IF(COUNTIFS(Deadlines!$D$6:$D$205,A142,Deadlines!$H$6:$H$205,"&lt;&gt;Completed",Deadlines!$G$6:$G$205,"&lt;&gt;")=0,"",MINIFS(Deadlines!$G$6:$G$205,Deadlines!$D$6:$D$205,A142,Deadlines!$H$6:$H$205,"&lt;&gt;Completed")))</f>
        <v/>
      </c>
      <c r="P142" s="78"/>
      <c r="Q142" s="78"/>
      <c r="R142" s="65"/>
      <c r="S142" s="78"/>
    </row>
    <row r="143" ht="24.0" customHeight="1">
      <c r="A143" s="78"/>
      <c r="B143" s="78"/>
      <c r="C143" s="78"/>
      <c r="D143" s="99"/>
      <c r="E143" s="99"/>
      <c r="F143" s="78"/>
      <c r="G143" s="99"/>
      <c r="H143" s="99"/>
      <c r="I143" s="99"/>
      <c r="J143" s="99"/>
      <c r="K143" s="99"/>
      <c r="L143" s="99"/>
      <c r="M143" s="99"/>
      <c r="N143" s="66" t="str">
        <f>IF(A143="","",IF(COUNT(I143:M143)&lt;5,"",ROUND(SUMPRODUCT(I143:M143,Setup!$A$12:$E$12)/5,0)))</f>
        <v/>
      </c>
      <c r="O143" s="74" t="str">
        <f>IF(A143="","",IF(COUNTIFS(Deadlines!$D$6:$D$205,A143,Deadlines!$H$6:$H$205,"&lt;&gt;Completed",Deadlines!$G$6:$G$205,"&lt;&gt;")=0,"",MINIFS(Deadlines!$G$6:$G$205,Deadlines!$D$6:$D$205,A143,Deadlines!$H$6:$H$205,"&lt;&gt;Completed")))</f>
        <v/>
      </c>
      <c r="P143" s="78"/>
      <c r="Q143" s="78"/>
      <c r="R143" s="65"/>
      <c r="S143" s="78"/>
    </row>
    <row r="144" ht="24.0" customHeight="1">
      <c r="A144" s="78"/>
      <c r="B144" s="78"/>
      <c r="C144" s="78"/>
      <c r="D144" s="99"/>
      <c r="E144" s="99"/>
      <c r="F144" s="78"/>
      <c r="G144" s="99"/>
      <c r="H144" s="99"/>
      <c r="I144" s="99"/>
      <c r="J144" s="99"/>
      <c r="K144" s="99"/>
      <c r="L144" s="99"/>
      <c r="M144" s="99"/>
      <c r="N144" s="66" t="str">
        <f>IF(A144="","",IF(COUNT(I144:M144)&lt;5,"",ROUND(SUMPRODUCT(I144:M144,Setup!$A$12:$E$12)/5,0)))</f>
        <v/>
      </c>
      <c r="O144" s="74" t="str">
        <f>IF(A144="","",IF(COUNTIFS(Deadlines!$D$6:$D$205,A144,Deadlines!$H$6:$H$205,"&lt;&gt;Completed",Deadlines!$G$6:$G$205,"&lt;&gt;")=0,"",MINIFS(Deadlines!$G$6:$G$205,Deadlines!$D$6:$D$205,A144,Deadlines!$H$6:$H$205,"&lt;&gt;Completed")))</f>
        <v/>
      </c>
      <c r="P144" s="78"/>
      <c r="Q144" s="78"/>
      <c r="R144" s="65"/>
      <c r="S144" s="78"/>
    </row>
    <row r="145" ht="24.0" customHeight="1">
      <c r="A145" s="78"/>
      <c r="B145" s="78"/>
      <c r="C145" s="78"/>
      <c r="D145" s="99"/>
      <c r="E145" s="99"/>
      <c r="F145" s="78"/>
      <c r="G145" s="99"/>
      <c r="H145" s="99"/>
      <c r="I145" s="99"/>
      <c r="J145" s="99"/>
      <c r="K145" s="99"/>
      <c r="L145" s="99"/>
      <c r="M145" s="99"/>
      <c r="N145" s="66" t="str">
        <f>IF(A145="","",IF(COUNT(I145:M145)&lt;5,"",ROUND(SUMPRODUCT(I145:M145,Setup!$A$12:$E$12)/5,0)))</f>
        <v/>
      </c>
      <c r="O145" s="74" t="str">
        <f>IF(A145="","",IF(COUNTIFS(Deadlines!$D$6:$D$205,A145,Deadlines!$H$6:$H$205,"&lt;&gt;Completed",Deadlines!$G$6:$G$205,"&lt;&gt;")=0,"",MINIFS(Deadlines!$G$6:$G$205,Deadlines!$D$6:$D$205,A145,Deadlines!$H$6:$H$205,"&lt;&gt;Completed")))</f>
        <v/>
      </c>
      <c r="P145" s="78"/>
      <c r="Q145" s="78"/>
      <c r="R145" s="65"/>
      <c r="S145" s="78"/>
    </row>
    <row r="146" ht="24.0" customHeight="1">
      <c r="A146" s="78"/>
      <c r="B146" s="78"/>
      <c r="C146" s="78"/>
      <c r="D146" s="99"/>
      <c r="E146" s="99"/>
      <c r="F146" s="78"/>
      <c r="G146" s="99"/>
      <c r="H146" s="99"/>
      <c r="I146" s="99"/>
      <c r="J146" s="99"/>
      <c r="K146" s="99"/>
      <c r="L146" s="99"/>
      <c r="M146" s="99"/>
      <c r="N146" s="66" t="str">
        <f>IF(A146="","",IF(COUNT(I146:M146)&lt;5,"",ROUND(SUMPRODUCT(I146:M146,Setup!$A$12:$E$12)/5,0)))</f>
        <v/>
      </c>
      <c r="O146" s="74" t="str">
        <f>IF(A146="","",IF(COUNTIFS(Deadlines!$D$6:$D$205,A146,Deadlines!$H$6:$H$205,"&lt;&gt;Completed",Deadlines!$G$6:$G$205,"&lt;&gt;")=0,"",MINIFS(Deadlines!$G$6:$G$205,Deadlines!$D$6:$D$205,A146,Deadlines!$H$6:$H$205,"&lt;&gt;Completed")))</f>
        <v/>
      </c>
      <c r="P146" s="78"/>
      <c r="Q146" s="78"/>
      <c r="R146" s="65"/>
      <c r="S146" s="78"/>
    </row>
    <row r="147" ht="24.0" customHeight="1">
      <c r="A147" s="78"/>
      <c r="B147" s="78"/>
      <c r="C147" s="78"/>
      <c r="D147" s="99"/>
      <c r="E147" s="99"/>
      <c r="F147" s="78"/>
      <c r="G147" s="99"/>
      <c r="H147" s="99"/>
      <c r="I147" s="99"/>
      <c r="J147" s="99"/>
      <c r="K147" s="99"/>
      <c r="L147" s="99"/>
      <c r="M147" s="99"/>
      <c r="N147" s="66" t="str">
        <f>IF(A147="","",IF(COUNT(I147:M147)&lt;5,"",ROUND(SUMPRODUCT(I147:M147,Setup!$A$12:$E$12)/5,0)))</f>
        <v/>
      </c>
      <c r="O147" s="74" t="str">
        <f>IF(A147="","",IF(COUNTIFS(Deadlines!$D$6:$D$205,A147,Deadlines!$H$6:$H$205,"&lt;&gt;Completed",Deadlines!$G$6:$G$205,"&lt;&gt;")=0,"",MINIFS(Deadlines!$G$6:$G$205,Deadlines!$D$6:$D$205,A147,Deadlines!$H$6:$H$205,"&lt;&gt;Completed")))</f>
        <v/>
      </c>
      <c r="P147" s="78"/>
      <c r="Q147" s="78"/>
      <c r="R147" s="65"/>
      <c r="S147" s="78"/>
    </row>
    <row r="148" ht="24.0" customHeight="1">
      <c r="A148" s="78"/>
      <c r="B148" s="78"/>
      <c r="C148" s="78"/>
      <c r="D148" s="99"/>
      <c r="E148" s="99"/>
      <c r="F148" s="78"/>
      <c r="G148" s="99"/>
      <c r="H148" s="99"/>
      <c r="I148" s="99"/>
      <c r="J148" s="99"/>
      <c r="K148" s="99"/>
      <c r="L148" s="99"/>
      <c r="M148" s="99"/>
      <c r="N148" s="66" t="str">
        <f>IF(A148="","",IF(COUNT(I148:M148)&lt;5,"",ROUND(SUMPRODUCT(I148:M148,Setup!$A$12:$E$12)/5,0)))</f>
        <v/>
      </c>
      <c r="O148" s="74" t="str">
        <f>IF(A148="","",IF(COUNTIFS(Deadlines!$D$6:$D$205,A148,Deadlines!$H$6:$H$205,"&lt;&gt;Completed",Deadlines!$G$6:$G$205,"&lt;&gt;")=0,"",MINIFS(Deadlines!$G$6:$G$205,Deadlines!$D$6:$D$205,A148,Deadlines!$H$6:$H$205,"&lt;&gt;Completed")))</f>
        <v/>
      </c>
      <c r="P148" s="78"/>
      <c r="Q148" s="78"/>
      <c r="R148" s="65"/>
      <c r="S148" s="78"/>
    </row>
    <row r="149" ht="24.0" customHeight="1">
      <c r="A149" s="78"/>
      <c r="B149" s="78"/>
      <c r="C149" s="78"/>
      <c r="D149" s="99"/>
      <c r="E149" s="99"/>
      <c r="F149" s="78"/>
      <c r="G149" s="99"/>
      <c r="H149" s="99"/>
      <c r="I149" s="99"/>
      <c r="J149" s="99"/>
      <c r="K149" s="99"/>
      <c r="L149" s="99"/>
      <c r="M149" s="99"/>
      <c r="N149" s="66" t="str">
        <f>IF(A149="","",IF(COUNT(I149:M149)&lt;5,"",ROUND(SUMPRODUCT(I149:M149,Setup!$A$12:$E$12)/5,0)))</f>
        <v/>
      </c>
      <c r="O149" s="74" t="str">
        <f>IF(A149="","",IF(COUNTIFS(Deadlines!$D$6:$D$205,A149,Deadlines!$H$6:$H$205,"&lt;&gt;Completed",Deadlines!$G$6:$G$205,"&lt;&gt;")=0,"",MINIFS(Deadlines!$G$6:$G$205,Deadlines!$D$6:$D$205,A149,Deadlines!$H$6:$H$205,"&lt;&gt;Completed")))</f>
        <v/>
      </c>
      <c r="P149" s="78"/>
      <c r="Q149" s="78"/>
      <c r="R149" s="65"/>
      <c r="S149" s="78"/>
    </row>
    <row r="150" ht="24.0" customHeight="1">
      <c r="A150" s="78"/>
      <c r="B150" s="78"/>
      <c r="C150" s="78"/>
      <c r="D150" s="99"/>
      <c r="E150" s="99"/>
      <c r="F150" s="78"/>
      <c r="G150" s="99"/>
      <c r="H150" s="99"/>
      <c r="I150" s="99"/>
      <c r="J150" s="99"/>
      <c r="K150" s="99"/>
      <c r="L150" s="99"/>
      <c r="M150" s="99"/>
      <c r="N150" s="66" t="str">
        <f>IF(A150="","",IF(COUNT(I150:M150)&lt;5,"",ROUND(SUMPRODUCT(I150:M150,Setup!$A$12:$E$12)/5,0)))</f>
        <v/>
      </c>
      <c r="O150" s="74" t="str">
        <f>IF(A150="","",IF(COUNTIFS(Deadlines!$D$6:$D$205,A150,Deadlines!$H$6:$H$205,"&lt;&gt;Completed",Deadlines!$G$6:$G$205,"&lt;&gt;")=0,"",MINIFS(Deadlines!$G$6:$G$205,Deadlines!$D$6:$D$205,A150,Deadlines!$H$6:$H$205,"&lt;&gt;Completed")))</f>
        <v/>
      </c>
      <c r="P150" s="78"/>
      <c r="Q150" s="78"/>
      <c r="R150" s="65"/>
      <c r="S150" s="78"/>
    </row>
    <row r="151" ht="24.0" customHeight="1">
      <c r="A151" s="78"/>
      <c r="B151" s="78"/>
      <c r="C151" s="78"/>
      <c r="D151" s="99"/>
      <c r="E151" s="99"/>
      <c r="F151" s="78"/>
      <c r="G151" s="99"/>
      <c r="H151" s="99"/>
      <c r="I151" s="99"/>
      <c r="J151" s="99"/>
      <c r="K151" s="99"/>
      <c r="L151" s="99"/>
      <c r="M151" s="99"/>
      <c r="N151" s="66" t="str">
        <f>IF(A151="","",IF(COUNT(I151:M151)&lt;5,"",ROUND(SUMPRODUCT(I151:M151,Setup!$A$12:$E$12)/5,0)))</f>
        <v/>
      </c>
      <c r="O151" s="74" t="str">
        <f>IF(A151="","",IF(COUNTIFS(Deadlines!$D$6:$D$205,A151,Deadlines!$H$6:$H$205,"&lt;&gt;Completed",Deadlines!$G$6:$G$205,"&lt;&gt;")=0,"",MINIFS(Deadlines!$G$6:$G$205,Deadlines!$D$6:$D$205,A151,Deadlines!$H$6:$H$205,"&lt;&gt;Completed")))</f>
        <v/>
      </c>
      <c r="P151" s="78"/>
      <c r="Q151" s="78"/>
      <c r="R151" s="65"/>
      <c r="S151" s="78"/>
    </row>
    <row r="152" ht="24.0" customHeight="1">
      <c r="A152" s="78"/>
      <c r="B152" s="78"/>
      <c r="C152" s="78"/>
      <c r="D152" s="99"/>
      <c r="E152" s="99"/>
      <c r="F152" s="78"/>
      <c r="G152" s="99"/>
      <c r="H152" s="99"/>
      <c r="I152" s="99"/>
      <c r="J152" s="99"/>
      <c r="K152" s="99"/>
      <c r="L152" s="99"/>
      <c r="M152" s="99"/>
      <c r="N152" s="66" t="str">
        <f>IF(A152="","",IF(COUNT(I152:M152)&lt;5,"",ROUND(SUMPRODUCT(I152:M152,Setup!$A$12:$E$12)/5,0)))</f>
        <v/>
      </c>
      <c r="O152" s="74" t="str">
        <f>IF(A152="","",IF(COUNTIFS(Deadlines!$D$6:$D$205,A152,Deadlines!$H$6:$H$205,"&lt;&gt;Completed",Deadlines!$G$6:$G$205,"&lt;&gt;")=0,"",MINIFS(Deadlines!$G$6:$G$205,Deadlines!$D$6:$D$205,A152,Deadlines!$H$6:$H$205,"&lt;&gt;Completed")))</f>
        <v/>
      </c>
      <c r="P152" s="78"/>
      <c r="Q152" s="78"/>
      <c r="R152" s="65"/>
      <c r="S152" s="78"/>
    </row>
    <row r="153" ht="24.0" customHeight="1">
      <c r="A153" s="78"/>
      <c r="B153" s="78"/>
      <c r="C153" s="78"/>
      <c r="D153" s="99"/>
      <c r="E153" s="99"/>
      <c r="F153" s="78"/>
      <c r="G153" s="99"/>
      <c r="H153" s="99"/>
      <c r="I153" s="99"/>
      <c r="J153" s="99"/>
      <c r="K153" s="99"/>
      <c r="L153" s="99"/>
      <c r="M153" s="99"/>
      <c r="N153" s="66" t="str">
        <f>IF(A153="","",IF(COUNT(I153:M153)&lt;5,"",ROUND(SUMPRODUCT(I153:M153,Setup!$A$12:$E$12)/5,0)))</f>
        <v/>
      </c>
      <c r="O153" s="74" t="str">
        <f>IF(A153="","",IF(COUNTIFS(Deadlines!$D$6:$D$205,A153,Deadlines!$H$6:$H$205,"&lt;&gt;Completed",Deadlines!$G$6:$G$205,"&lt;&gt;")=0,"",MINIFS(Deadlines!$G$6:$G$205,Deadlines!$D$6:$D$205,A153,Deadlines!$H$6:$H$205,"&lt;&gt;Completed")))</f>
        <v/>
      </c>
      <c r="P153" s="78"/>
      <c r="Q153" s="78"/>
      <c r="R153" s="65"/>
      <c r="S153" s="78"/>
    </row>
    <row r="154" ht="24.0" customHeight="1">
      <c r="A154" s="78"/>
      <c r="B154" s="78"/>
      <c r="C154" s="78"/>
      <c r="D154" s="99"/>
      <c r="E154" s="99"/>
      <c r="F154" s="78"/>
      <c r="G154" s="99"/>
      <c r="H154" s="99"/>
      <c r="I154" s="99"/>
      <c r="J154" s="99"/>
      <c r="K154" s="99"/>
      <c r="L154" s="99"/>
      <c r="M154" s="99"/>
      <c r="N154" s="66" t="str">
        <f>IF(A154="","",IF(COUNT(I154:M154)&lt;5,"",ROUND(SUMPRODUCT(I154:M154,Setup!$A$12:$E$12)/5,0)))</f>
        <v/>
      </c>
      <c r="O154" s="74" t="str">
        <f>IF(A154="","",IF(COUNTIFS(Deadlines!$D$6:$D$205,A154,Deadlines!$H$6:$H$205,"&lt;&gt;Completed",Deadlines!$G$6:$G$205,"&lt;&gt;")=0,"",MINIFS(Deadlines!$G$6:$G$205,Deadlines!$D$6:$D$205,A154,Deadlines!$H$6:$H$205,"&lt;&gt;Completed")))</f>
        <v/>
      </c>
      <c r="P154" s="78"/>
      <c r="Q154" s="78"/>
      <c r="R154" s="65"/>
      <c r="S154" s="78"/>
    </row>
    <row r="155" ht="24.0" customHeight="1">
      <c r="A155" s="78"/>
      <c r="B155" s="78"/>
      <c r="C155" s="78"/>
      <c r="D155" s="99"/>
      <c r="E155" s="99"/>
      <c r="F155" s="78"/>
      <c r="G155" s="99"/>
      <c r="H155" s="99"/>
      <c r="I155" s="99"/>
      <c r="J155" s="99"/>
      <c r="K155" s="99"/>
      <c r="L155" s="99"/>
      <c r="M155" s="99"/>
      <c r="N155" s="66" t="str">
        <f>IF(A155="","",IF(COUNT(I155:M155)&lt;5,"",ROUND(SUMPRODUCT(I155:M155,Setup!$A$12:$E$12)/5,0)))</f>
        <v/>
      </c>
      <c r="O155" s="74" t="str">
        <f>IF(A155="","",IF(COUNTIFS(Deadlines!$D$6:$D$205,A155,Deadlines!$H$6:$H$205,"&lt;&gt;Completed",Deadlines!$G$6:$G$205,"&lt;&gt;")=0,"",MINIFS(Deadlines!$G$6:$G$205,Deadlines!$D$6:$D$205,A155,Deadlines!$H$6:$H$205,"&lt;&gt;Completed")))</f>
        <v/>
      </c>
      <c r="P155" s="78"/>
      <c r="Q155" s="78"/>
      <c r="R155" s="65"/>
      <c r="S155" s="78"/>
    </row>
    <row r="156" ht="24.0" customHeight="1">
      <c r="A156" s="78"/>
      <c r="B156" s="78"/>
      <c r="C156" s="78"/>
      <c r="D156" s="99"/>
      <c r="E156" s="99"/>
      <c r="F156" s="78"/>
      <c r="G156" s="99"/>
      <c r="H156" s="99"/>
      <c r="I156" s="99"/>
      <c r="J156" s="99"/>
      <c r="K156" s="99"/>
      <c r="L156" s="99"/>
      <c r="M156" s="99"/>
      <c r="N156" s="66" t="str">
        <f>IF(A156="","",IF(COUNT(I156:M156)&lt;5,"",ROUND(SUMPRODUCT(I156:M156,Setup!$A$12:$E$12)/5,0)))</f>
        <v/>
      </c>
      <c r="O156" s="74" t="str">
        <f>IF(A156="","",IF(COUNTIFS(Deadlines!$D$6:$D$205,A156,Deadlines!$H$6:$H$205,"&lt;&gt;Completed",Deadlines!$G$6:$G$205,"&lt;&gt;")=0,"",MINIFS(Deadlines!$G$6:$G$205,Deadlines!$D$6:$D$205,A156,Deadlines!$H$6:$H$205,"&lt;&gt;Completed")))</f>
        <v/>
      </c>
      <c r="P156" s="78"/>
      <c r="Q156" s="78"/>
      <c r="R156" s="65"/>
      <c r="S156" s="78"/>
    </row>
    <row r="157" ht="24.0" customHeight="1">
      <c r="A157" s="78"/>
      <c r="B157" s="78"/>
      <c r="C157" s="78"/>
      <c r="D157" s="99"/>
      <c r="E157" s="99"/>
      <c r="F157" s="78"/>
      <c r="G157" s="99"/>
      <c r="H157" s="99"/>
      <c r="I157" s="99"/>
      <c r="J157" s="99"/>
      <c r="K157" s="99"/>
      <c r="L157" s="99"/>
      <c r="M157" s="99"/>
      <c r="N157" s="66" t="str">
        <f>IF(A157="","",IF(COUNT(I157:M157)&lt;5,"",ROUND(SUMPRODUCT(I157:M157,Setup!$A$12:$E$12)/5,0)))</f>
        <v/>
      </c>
      <c r="O157" s="74" t="str">
        <f>IF(A157="","",IF(COUNTIFS(Deadlines!$D$6:$D$205,A157,Deadlines!$H$6:$H$205,"&lt;&gt;Completed",Deadlines!$G$6:$G$205,"&lt;&gt;")=0,"",MINIFS(Deadlines!$G$6:$G$205,Deadlines!$D$6:$D$205,A157,Deadlines!$H$6:$H$205,"&lt;&gt;Completed")))</f>
        <v/>
      </c>
      <c r="P157" s="78"/>
      <c r="Q157" s="78"/>
      <c r="R157" s="65"/>
      <c r="S157" s="78"/>
    </row>
    <row r="158" ht="24.0" customHeight="1">
      <c r="A158" s="78"/>
      <c r="B158" s="78"/>
      <c r="C158" s="78"/>
      <c r="D158" s="99"/>
      <c r="E158" s="99"/>
      <c r="F158" s="78"/>
      <c r="G158" s="99"/>
      <c r="H158" s="99"/>
      <c r="I158" s="99"/>
      <c r="J158" s="99"/>
      <c r="K158" s="99"/>
      <c r="L158" s="99"/>
      <c r="M158" s="99"/>
      <c r="N158" s="66" t="str">
        <f>IF(A158="","",IF(COUNT(I158:M158)&lt;5,"",ROUND(SUMPRODUCT(I158:M158,Setup!$A$12:$E$12)/5,0)))</f>
        <v/>
      </c>
      <c r="O158" s="74" t="str">
        <f>IF(A158="","",IF(COUNTIFS(Deadlines!$D$6:$D$205,A158,Deadlines!$H$6:$H$205,"&lt;&gt;Completed",Deadlines!$G$6:$G$205,"&lt;&gt;")=0,"",MINIFS(Deadlines!$G$6:$G$205,Deadlines!$D$6:$D$205,A158,Deadlines!$H$6:$H$205,"&lt;&gt;Completed")))</f>
        <v/>
      </c>
      <c r="P158" s="78"/>
      <c r="Q158" s="78"/>
      <c r="R158" s="65"/>
      <c r="S158" s="78"/>
    </row>
    <row r="159" ht="24.0" customHeight="1">
      <c r="A159" s="78"/>
      <c r="B159" s="78"/>
      <c r="C159" s="78"/>
      <c r="D159" s="99"/>
      <c r="E159" s="99"/>
      <c r="F159" s="78"/>
      <c r="G159" s="99"/>
      <c r="H159" s="99"/>
      <c r="I159" s="99"/>
      <c r="J159" s="99"/>
      <c r="K159" s="99"/>
      <c r="L159" s="99"/>
      <c r="M159" s="99"/>
      <c r="N159" s="66" t="str">
        <f>IF(A159="","",IF(COUNT(I159:M159)&lt;5,"",ROUND(SUMPRODUCT(I159:M159,Setup!$A$12:$E$12)/5,0)))</f>
        <v/>
      </c>
      <c r="O159" s="74" t="str">
        <f>IF(A159="","",IF(COUNTIFS(Deadlines!$D$6:$D$205,A159,Deadlines!$H$6:$H$205,"&lt;&gt;Completed",Deadlines!$G$6:$G$205,"&lt;&gt;")=0,"",MINIFS(Deadlines!$G$6:$G$205,Deadlines!$D$6:$D$205,A159,Deadlines!$H$6:$H$205,"&lt;&gt;Completed")))</f>
        <v/>
      </c>
      <c r="P159" s="78"/>
      <c r="Q159" s="78"/>
      <c r="R159" s="65"/>
      <c r="S159" s="78"/>
    </row>
    <row r="160" ht="24.0" customHeight="1">
      <c r="A160" s="78"/>
      <c r="B160" s="78"/>
      <c r="C160" s="78"/>
      <c r="D160" s="99"/>
      <c r="E160" s="99"/>
      <c r="F160" s="78"/>
      <c r="G160" s="99"/>
      <c r="H160" s="99"/>
      <c r="I160" s="99"/>
      <c r="J160" s="99"/>
      <c r="K160" s="99"/>
      <c r="L160" s="99"/>
      <c r="M160" s="99"/>
      <c r="N160" s="66" t="str">
        <f>IF(A160="","",IF(COUNT(I160:M160)&lt;5,"",ROUND(SUMPRODUCT(I160:M160,Setup!$A$12:$E$12)/5,0)))</f>
        <v/>
      </c>
      <c r="O160" s="74" t="str">
        <f>IF(A160="","",IF(COUNTIFS(Deadlines!$D$6:$D$205,A160,Deadlines!$H$6:$H$205,"&lt;&gt;Completed",Deadlines!$G$6:$G$205,"&lt;&gt;")=0,"",MINIFS(Deadlines!$G$6:$G$205,Deadlines!$D$6:$D$205,A160,Deadlines!$H$6:$H$205,"&lt;&gt;Completed")))</f>
        <v/>
      </c>
      <c r="P160" s="78"/>
      <c r="Q160" s="78"/>
      <c r="R160" s="65"/>
      <c r="S160" s="78"/>
    </row>
    <row r="161" ht="24.0" customHeight="1">
      <c r="A161" s="78"/>
      <c r="B161" s="78"/>
      <c r="C161" s="78"/>
      <c r="D161" s="99"/>
      <c r="E161" s="99"/>
      <c r="F161" s="78"/>
      <c r="G161" s="99"/>
      <c r="H161" s="99"/>
      <c r="I161" s="99"/>
      <c r="J161" s="99"/>
      <c r="K161" s="99"/>
      <c r="L161" s="99"/>
      <c r="M161" s="99"/>
      <c r="N161" s="66" t="str">
        <f>IF(A161="","",IF(COUNT(I161:M161)&lt;5,"",ROUND(SUMPRODUCT(I161:M161,Setup!$A$12:$E$12)/5,0)))</f>
        <v/>
      </c>
      <c r="O161" s="74" t="str">
        <f>IF(A161="","",IF(COUNTIFS(Deadlines!$D$6:$D$205,A161,Deadlines!$H$6:$H$205,"&lt;&gt;Completed",Deadlines!$G$6:$G$205,"&lt;&gt;")=0,"",MINIFS(Deadlines!$G$6:$G$205,Deadlines!$D$6:$D$205,A161,Deadlines!$H$6:$H$205,"&lt;&gt;Completed")))</f>
        <v/>
      </c>
      <c r="P161" s="78"/>
      <c r="Q161" s="78"/>
      <c r="R161" s="65"/>
      <c r="S161" s="78"/>
    </row>
    <row r="162" ht="24.0" customHeight="1">
      <c r="A162" s="78"/>
      <c r="B162" s="78"/>
      <c r="C162" s="78"/>
      <c r="D162" s="99"/>
      <c r="E162" s="99"/>
      <c r="F162" s="78"/>
      <c r="G162" s="99"/>
      <c r="H162" s="99"/>
      <c r="I162" s="99"/>
      <c r="J162" s="99"/>
      <c r="K162" s="99"/>
      <c r="L162" s="99"/>
      <c r="M162" s="99"/>
      <c r="N162" s="66" t="str">
        <f>IF(A162="","",IF(COUNT(I162:M162)&lt;5,"",ROUND(SUMPRODUCT(I162:M162,Setup!$A$12:$E$12)/5,0)))</f>
        <v/>
      </c>
      <c r="O162" s="74" t="str">
        <f>IF(A162="","",IF(COUNTIFS(Deadlines!$D$6:$D$205,A162,Deadlines!$H$6:$H$205,"&lt;&gt;Completed",Deadlines!$G$6:$G$205,"&lt;&gt;")=0,"",MINIFS(Deadlines!$G$6:$G$205,Deadlines!$D$6:$D$205,A162,Deadlines!$H$6:$H$205,"&lt;&gt;Completed")))</f>
        <v/>
      </c>
      <c r="P162" s="78"/>
      <c r="Q162" s="78"/>
      <c r="R162" s="65"/>
      <c r="S162" s="78"/>
    </row>
    <row r="163" ht="24.0" customHeight="1">
      <c r="A163" s="78"/>
      <c r="B163" s="78"/>
      <c r="C163" s="78"/>
      <c r="D163" s="99"/>
      <c r="E163" s="99"/>
      <c r="F163" s="78"/>
      <c r="G163" s="99"/>
      <c r="H163" s="99"/>
      <c r="I163" s="99"/>
      <c r="J163" s="99"/>
      <c r="K163" s="99"/>
      <c r="L163" s="99"/>
      <c r="M163" s="99"/>
      <c r="N163" s="66" t="str">
        <f>IF(A163="","",IF(COUNT(I163:M163)&lt;5,"",ROUND(SUMPRODUCT(I163:M163,Setup!$A$12:$E$12)/5,0)))</f>
        <v/>
      </c>
      <c r="O163" s="74" t="str">
        <f>IF(A163="","",IF(COUNTIFS(Deadlines!$D$6:$D$205,A163,Deadlines!$H$6:$H$205,"&lt;&gt;Completed",Deadlines!$G$6:$G$205,"&lt;&gt;")=0,"",MINIFS(Deadlines!$G$6:$G$205,Deadlines!$D$6:$D$205,A163,Deadlines!$H$6:$H$205,"&lt;&gt;Completed")))</f>
        <v/>
      </c>
      <c r="P163" s="78"/>
      <c r="Q163" s="78"/>
      <c r="R163" s="65"/>
      <c r="S163" s="78"/>
    </row>
    <row r="164" ht="24.0" customHeight="1">
      <c r="A164" s="78"/>
      <c r="B164" s="78"/>
      <c r="C164" s="78"/>
      <c r="D164" s="99"/>
      <c r="E164" s="99"/>
      <c r="F164" s="78"/>
      <c r="G164" s="99"/>
      <c r="H164" s="99"/>
      <c r="I164" s="99"/>
      <c r="J164" s="99"/>
      <c r="K164" s="99"/>
      <c r="L164" s="99"/>
      <c r="M164" s="99"/>
      <c r="N164" s="66" t="str">
        <f>IF(A164="","",IF(COUNT(I164:M164)&lt;5,"",ROUND(SUMPRODUCT(I164:M164,Setup!$A$12:$E$12)/5,0)))</f>
        <v/>
      </c>
      <c r="O164" s="74" t="str">
        <f>IF(A164="","",IF(COUNTIFS(Deadlines!$D$6:$D$205,A164,Deadlines!$H$6:$H$205,"&lt;&gt;Completed",Deadlines!$G$6:$G$205,"&lt;&gt;")=0,"",MINIFS(Deadlines!$G$6:$G$205,Deadlines!$D$6:$D$205,A164,Deadlines!$H$6:$H$205,"&lt;&gt;Completed")))</f>
        <v/>
      </c>
      <c r="P164" s="78"/>
      <c r="Q164" s="78"/>
      <c r="R164" s="65"/>
      <c r="S164" s="78"/>
    </row>
    <row r="165" ht="24.0" customHeight="1">
      <c r="A165" s="78"/>
      <c r="B165" s="78"/>
      <c r="C165" s="78"/>
      <c r="D165" s="99"/>
      <c r="E165" s="99"/>
      <c r="F165" s="78"/>
      <c r="G165" s="99"/>
      <c r="H165" s="99"/>
      <c r="I165" s="99"/>
      <c r="J165" s="99"/>
      <c r="K165" s="99"/>
      <c r="L165" s="99"/>
      <c r="M165" s="99"/>
      <c r="N165" s="66" t="str">
        <f>IF(A165="","",IF(COUNT(I165:M165)&lt;5,"",ROUND(SUMPRODUCT(I165:M165,Setup!$A$12:$E$12)/5,0)))</f>
        <v/>
      </c>
      <c r="O165" s="74" t="str">
        <f>IF(A165="","",IF(COUNTIFS(Deadlines!$D$6:$D$205,A165,Deadlines!$H$6:$H$205,"&lt;&gt;Completed",Deadlines!$G$6:$G$205,"&lt;&gt;")=0,"",MINIFS(Deadlines!$G$6:$G$205,Deadlines!$D$6:$D$205,A165,Deadlines!$H$6:$H$205,"&lt;&gt;Completed")))</f>
        <v/>
      </c>
      <c r="P165" s="78"/>
      <c r="Q165" s="78"/>
      <c r="R165" s="65"/>
      <c r="S165" s="78"/>
    </row>
    <row r="166" ht="24.0" customHeight="1">
      <c r="A166" s="78"/>
      <c r="B166" s="78"/>
      <c r="C166" s="78"/>
      <c r="D166" s="99"/>
      <c r="E166" s="99"/>
      <c r="F166" s="78"/>
      <c r="G166" s="99"/>
      <c r="H166" s="99"/>
      <c r="I166" s="99"/>
      <c r="J166" s="99"/>
      <c r="K166" s="99"/>
      <c r="L166" s="99"/>
      <c r="M166" s="99"/>
      <c r="N166" s="66" t="str">
        <f>IF(A166="","",IF(COUNT(I166:M166)&lt;5,"",ROUND(SUMPRODUCT(I166:M166,Setup!$A$12:$E$12)/5,0)))</f>
        <v/>
      </c>
      <c r="O166" s="74" t="str">
        <f>IF(A166="","",IF(COUNTIFS(Deadlines!$D$6:$D$205,A166,Deadlines!$H$6:$H$205,"&lt;&gt;Completed",Deadlines!$G$6:$G$205,"&lt;&gt;")=0,"",MINIFS(Deadlines!$G$6:$G$205,Deadlines!$D$6:$D$205,A166,Deadlines!$H$6:$H$205,"&lt;&gt;Completed")))</f>
        <v/>
      </c>
      <c r="P166" s="78"/>
      <c r="Q166" s="78"/>
      <c r="R166" s="65"/>
      <c r="S166" s="78"/>
    </row>
    <row r="167" ht="24.0" customHeight="1">
      <c r="A167" s="78"/>
      <c r="B167" s="78"/>
      <c r="C167" s="78"/>
      <c r="D167" s="99"/>
      <c r="E167" s="99"/>
      <c r="F167" s="78"/>
      <c r="G167" s="99"/>
      <c r="H167" s="99"/>
      <c r="I167" s="99"/>
      <c r="J167" s="99"/>
      <c r="K167" s="99"/>
      <c r="L167" s="99"/>
      <c r="M167" s="99"/>
      <c r="N167" s="66" t="str">
        <f>IF(A167="","",IF(COUNT(I167:M167)&lt;5,"",ROUND(SUMPRODUCT(I167:M167,Setup!$A$12:$E$12)/5,0)))</f>
        <v/>
      </c>
      <c r="O167" s="74" t="str">
        <f>IF(A167="","",IF(COUNTIFS(Deadlines!$D$6:$D$205,A167,Deadlines!$H$6:$H$205,"&lt;&gt;Completed",Deadlines!$G$6:$G$205,"&lt;&gt;")=0,"",MINIFS(Deadlines!$G$6:$G$205,Deadlines!$D$6:$D$205,A167,Deadlines!$H$6:$H$205,"&lt;&gt;Completed")))</f>
        <v/>
      </c>
      <c r="P167" s="78"/>
      <c r="Q167" s="78"/>
      <c r="R167" s="65"/>
      <c r="S167" s="78"/>
    </row>
    <row r="168" ht="24.0" customHeight="1">
      <c r="A168" s="78"/>
      <c r="B168" s="78"/>
      <c r="C168" s="78"/>
      <c r="D168" s="99"/>
      <c r="E168" s="99"/>
      <c r="F168" s="78"/>
      <c r="G168" s="99"/>
      <c r="H168" s="99"/>
      <c r="I168" s="99"/>
      <c r="J168" s="99"/>
      <c r="K168" s="99"/>
      <c r="L168" s="99"/>
      <c r="M168" s="99"/>
      <c r="N168" s="66" t="str">
        <f>IF(A168="","",IF(COUNT(I168:M168)&lt;5,"",ROUND(SUMPRODUCT(I168:M168,Setup!$A$12:$E$12)/5,0)))</f>
        <v/>
      </c>
      <c r="O168" s="74" t="str">
        <f>IF(A168="","",IF(COUNTIFS(Deadlines!$D$6:$D$205,A168,Deadlines!$H$6:$H$205,"&lt;&gt;Completed",Deadlines!$G$6:$G$205,"&lt;&gt;")=0,"",MINIFS(Deadlines!$G$6:$G$205,Deadlines!$D$6:$D$205,A168,Deadlines!$H$6:$H$205,"&lt;&gt;Completed")))</f>
        <v/>
      </c>
      <c r="P168" s="78"/>
      <c r="Q168" s="78"/>
      <c r="R168" s="65"/>
      <c r="S168" s="78"/>
    </row>
    <row r="169" ht="24.0" customHeight="1">
      <c r="A169" s="78"/>
      <c r="B169" s="78"/>
      <c r="C169" s="78"/>
      <c r="D169" s="99"/>
      <c r="E169" s="99"/>
      <c r="F169" s="78"/>
      <c r="G169" s="99"/>
      <c r="H169" s="99"/>
      <c r="I169" s="99"/>
      <c r="J169" s="99"/>
      <c r="K169" s="99"/>
      <c r="L169" s="99"/>
      <c r="M169" s="99"/>
      <c r="N169" s="66" t="str">
        <f>IF(A169="","",IF(COUNT(I169:M169)&lt;5,"",ROUND(SUMPRODUCT(I169:M169,Setup!$A$12:$E$12)/5,0)))</f>
        <v/>
      </c>
      <c r="O169" s="74" t="str">
        <f>IF(A169="","",IF(COUNTIFS(Deadlines!$D$6:$D$205,A169,Deadlines!$H$6:$H$205,"&lt;&gt;Completed",Deadlines!$G$6:$G$205,"&lt;&gt;")=0,"",MINIFS(Deadlines!$G$6:$G$205,Deadlines!$D$6:$D$205,A169,Deadlines!$H$6:$H$205,"&lt;&gt;Completed")))</f>
        <v/>
      </c>
      <c r="P169" s="78"/>
      <c r="Q169" s="78"/>
      <c r="R169" s="65"/>
      <c r="S169" s="78"/>
    </row>
    <row r="170" ht="24.0" customHeight="1">
      <c r="A170" s="78"/>
      <c r="B170" s="78"/>
      <c r="C170" s="78"/>
      <c r="D170" s="99"/>
      <c r="E170" s="99"/>
      <c r="F170" s="78"/>
      <c r="G170" s="99"/>
      <c r="H170" s="99"/>
      <c r="I170" s="99"/>
      <c r="J170" s="99"/>
      <c r="K170" s="99"/>
      <c r="L170" s="99"/>
      <c r="M170" s="99"/>
      <c r="N170" s="66" t="str">
        <f>IF(A170="","",IF(COUNT(I170:M170)&lt;5,"",ROUND(SUMPRODUCT(I170:M170,Setup!$A$12:$E$12)/5,0)))</f>
        <v/>
      </c>
      <c r="O170" s="74" t="str">
        <f>IF(A170="","",IF(COUNTIFS(Deadlines!$D$6:$D$205,A170,Deadlines!$H$6:$H$205,"&lt;&gt;Completed",Deadlines!$G$6:$G$205,"&lt;&gt;")=0,"",MINIFS(Deadlines!$G$6:$G$205,Deadlines!$D$6:$D$205,A170,Deadlines!$H$6:$H$205,"&lt;&gt;Completed")))</f>
        <v/>
      </c>
      <c r="P170" s="78"/>
      <c r="Q170" s="78"/>
      <c r="R170" s="65"/>
      <c r="S170" s="78"/>
    </row>
    <row r="171" ht="24.0" customHeight="1">
      <c r="A171" s="78"/>
      <c r="B171" s="78"/>
      <c r="C171" s="78"/>
      <c r="D171" s="99"/>
      <c r="E171" s="99"/>
      <c r="F171" s="78"/>
      <c r="G171" s="99"/>
      <c r="H171" s="99"/>
      <c r="I171" s="99"/>
      <c r="J171" s="99"/>
      <c r="K171" s="99"/>
      <c r="L171" s="99"/>
      <c r="M171" s="99"/>
      <c r="N171" s="66" t="str">
        <f>IF(A171="","",IF(COUNT(I171:M171)&lt;5,"",ROUND(SUMPRODUCT(I171:M171,Setup!$A$12:$E$12)/5,0)))</f>
        <v/>
      </c>
      <c r="O171" s="74" t="str">
        <f>IF(A171="","",IF(COUNTIFS(Deadlines!$D$6:$D$205,A171,Deadlines!$H$6:$H$205,"&lt;&gt;Completed",Deadlines!$G$6:$G$205,"&lt;&gt;")=0,"",MINIFS(Deadlines!$G$6:$G$205,Deadlines!$D$6:$D$205,A171,Deadlines!$H$6:$H$205,"&lt;&gt;Completed")))</f>
        <v/>
      </c>
      <c r="P171" s="78"/>
      <c r="Q171" s="78"/>
      <c r="R171" s="65"/>
      <c r="S171" s="78"/>
    </row>
    <row r="172" ht="24.0" customHeight="1">
      <c r="A172" s="78"/>
      <c r="B172" s="78"/>
      <c r="C172" s="78"/>
      <c r="D172" s="99"/>
      <c r="E172" s="99"/>
      <c r="F172" s="78"/>
      <c r="G172" s="99"/>
      <c r="H172" s="99"/>
      <c r="I172" s="99"/>
      <c r="J172" s="99"/>
      <c r="K172" s="99"/>
      <c r="L172" s="99"/>
      <c r="M172" s="99"/>
      <c r="N172" s="66" t="str">
        <f>IF(A172="","",IF(COUNT(I172:M172)&lt;5,"",ROUND(SUMPRODUCT(I172:M172,Setup!$A$12:$E$12)/5,0)))</f>
        <v/>
      </c>
      <c r="O172" s="74" t="str">
        <f>IF(A172="","",IF(COUNTIFS(Deadlines!$D$6:$D$205,A172,Deadlines!$H$6:$H$205,"&lt;&gt;Completed",Deadlines!$G$6:$G$205,"&lt;&gt;")=0,"",MINIFS(Deadlines!$G$6:$G$205,Deadlines!$D$6:$D$205,A172,Deadlines!$H$6:$H$205,"&lt;&gt;Completed")))</f>
        <v/>
      </c>
      <c r="P172" s="78"/>
      <c r="Q172" s="78"/>
      <c r="R172" s="65"/>
      <c r="S172" s="78"/>
    </row>
    <row r="173" ht="24.0" customHeight="1">
      <c r="A173" s="78"/>
      <c r="B173" s="78"/>
      <c r="C173" s="78"/>
      <c r="D173" s="99"/>
      <c r="E173" s="99"/>
      <c r="F173" s="78"/>
      <c r="G173" s="99"/>
      <c r="H173" s="99"/>
      <c r="I173" s="99"/>
      <c r="J173" s="99"/>
      <c r="K173" s="99"/>
      <c r="L173" s="99"/>
      <c r="M173" s="99"/>
      <c r="N173" s="66" t="str">
        <f>IF(A173="","",IF(COUNT(I173:M173)&lt;5,"",ROUND(SUMPRODUCT(I173:M173,Setup!$A$12:$E$12)/5,0)))</f>
        <v/>
      </c>
      <c r="O173" s="74" t="str">
        <f>IF(A173="","",IF(COUNTIFS(Deadlines!$D$6:$D$205,A173,Deadlines!$H$6:$H$205,"&lt;&gt;Completed",Deadlines!$G$6:$G$205,"&lt;&gt;")=0,"",MINIFS(Deadlines!$G$6:$G$205,Deadlines!$D$6:$D$205,A173,Deadlines!$H$6:$H$205,"&lt;&gt;Completed")))</f>
        <v/>
      </c>
      <c r="P173" s="78"/>
      <c r="Q173" s="78"/>
      <c r="R173" s="65"/>
      <c r="S173" s="78"/>
    </row>
    <row r="174" ht="24.0" customHeight="1">
      <c r="A174" s="78"/>
      <c r="B174" s="78"/>
      <c r="C174" s="78"/>
      <c r="D174" s="99"/>
      <c r="E174" s="99"/>
      <c r="F174" s="78"/>
      <c r="G174" s="99"/>
      <c r="H174" s="99"/>
      <c r="I174" s="99"/>
      <c r="J174" s="99"/>
      <c r="K174" s="99"/>
      <c r="L174" s="99"/>
      <c r="M174" s="99"/>
      <c r="N174" s="66" t="str">
        <f>IF(A174="","",IF(COUNT(I174:M174)&lt;5,"",ROUND(SUMPRODUCT(I174:M174,Setup!$A$12:$E$12)/5,0)))</f>
        <v/>
      </c>
      <c r="O174" s="74" t="str">
        <f>IF(A174="","",IF(COUNTIFS(Deadlines!$D$6:$D$205,A174,Deadlines!$H$6:$H$205,"&lt;&gt;Completed",Deadlines!$G$6:$G$205,"&lt;&gt;")=0,"",MINIFS(Deadlines!$G$6:$G$205,Deadlines!$D$6:$D$205,A174,Deadlines!$H$6:$H$205,"&lt;&gt;Completed")))</f>
        <v/>
      </c>
      <c r="P174" s="78"/>
      <c r="Q174" s="78"/>
      <c r="R174" s="65"/>
      <c r="S174" s="78"/>
    </row>
    <row r="175" ht="24.0" customHeight="1">
      <c r="A175" s="78"/>
      <c r="B175" s="78"/>
      <c r="C175" s="78"/>
      <c r="D175" s="99"/>
      <c r="E175" s="99"/>
      <c r="F175" s="78"/>
      <c r="G175" s="99"/>
      <c r="H175" s="99"/>
      <c r="I175" s="99"/>
      <c r="J175" s="99"/>
      <c r="K175" s="99"/>
      <c r="L175" s="99"/>
      <c r="M175" s="99"/>
      <c r="N175" s="66" t="str">
        <f>IF(A175="","",IF(COUNT(I175:M175)&lt;5,"",ROUND(SUMPRODUCT(I175:M175,Setup!$A$12:$E$12)/5,0)))</f>
        <v/>
      </c>
      <c r="O175" s="74" t="str">
        <f>IF(A175="","",IF(COUNTIFS(Deadlines!$D$6:$D$205,A175,Deadlines!$H$6:$H$205,"&lt;&gt;Completed",Deadlines!$G$6:$G$205,"&lt;&gt;")=0,"",MINIFS(Deadlines!$G$6:$G$205,Deadlines!$D$6:$D$205,A175,Deadlines!$H$6:$H$205,"&lt;&gt;Completed")))</f>
        <v/>
      </c>
      <c r="P175" s="78"/>
      <c r="Q175" s="78"/>
      <c r="R175" s="65"/>
      <c r="S175" s="78"/>
    </row>
    <row r="176" ht="24.0" customHeight="1">
      <c r="A176" s="78"/>
      <c r="B176" s="78"/>
      <c r="C176" s="78"/>
      <c r="D176" s="99"/>
      <c r="E176" s="99"/>
      <c r="F176" s="78"/>
      <c r="G176" s="99"/>
      <c r="H176" s="99"/>
      <c r="I176" s="99"/>
      <c r="J176" s="99"/>
      <c r="K176" s="99"/>
      <c r="L176" s="99"/>
      <c r="M176" s="99"/>
      <c r="N176" s="66" t="str">
        <f>IF(A176="","",IF(COUNT(I176:M176)&lt;5,"",ROUND(SUMPRODUCT(I176:M176,Setup!$A$12:$E$12)/5,0)))</f>
        <v/>
      </c>
      <c r="O176" s="74" t="str">
        <f>IF(A176="","",IF(COUNTIFS(Deadlines!$D$6:$D$205,A176,Deadlines!$H$6:$H$205,"&lt;&gt;Completed",Deadlines!$G$6:$G$205,"&lt;&gt;")=0,"",MINIFS(Deadlines!$G$6:$G$205,Deadlines!$D$6:$D$205,A176,Deadlines!$H$6:$H$205,"&lt;&gt;Completed")))</f>
        <v/>
      </c>
      <c r="P176" s="78"/>
      <c r="Q176" s="78"/>
      <c r="R176" s="65"/>
      <c r="S176" s="78"/>
    </row>
    <row r="177" ht="24.0" customHeight="1">
      <c r="A177" s="78"/>
      <c r="B177" s="78"/>
      <c r="C177" s="78"/>
      <c r="D177" s="99"/>
      <c r="E177" s="99"/>
      <c r="F177" s="78"/>
      <c r="G177" s="99"/>
      <c r="H177" s="99"/>
      <c r="I177" s="99"/>
      <c r="J177" s="99"/>
      <c r="K177" s="99"/>
      <c r="L177" s="99"/>
      <c r="M177" s="99"/>
      <c r="N177" s="66" t="str">
        <f>IF(A177="","",IF(COUNT(I177:M177)&lt;5,"",ROUND(SUMPRODUCT(I177:M177,Setup!$A$12:$E$12)/5,0)))</f>
        <v/>
      </c>
      <c r="O177" s="74" t="str">
        <f>IF(A177="","",IF(COUNTIFS(Deadlines!$D$6:$D$205,A177,Deadlines!$H$6:$H$205,"&lt;&gt;Completed",Deadlines!$G$6:$G$205,"&lt;&gt;")=0,"",MINIFS(Deadlines!$G$6:$G$205,Deadlines!$D$6:$D$205,A177,Deadlines!$H$6:$H$205,"&lt;&gt;Completed")))</f>
        <v/>
      </c>
      <c r="P177" s="78"/>
      <c r="Q177" s="78"/>
      <c r="R177" s="65"/>
      <c r="S177" s="78"/>
    </row>
    <row r="178" ht="24.0" customHeight="1">
      <c r="A178" s="78"/>
      <c r="B178" s="78"/>
      <c r="C178" s="78"/>
      <c r="D178" s="99"/>
      <c r="E178" s="99"/>
      <c r="F178" s="78"/>
      <c r="G178" s="99"/>
      <c r="H178" s="99"/>
      <c r="I178" s="99"/>
      <c r="J178" s="99"/>
      <c r="K178" s="99"/>
      <c r="L178" s="99"/>
      <c r="M178" s="99"/>
      <c r="N178" s="66" t="str">
        <f>IF(A178="","",IF(COUNT(I178:M178)&lt;5,"",ROUND(SUMPRODUCT(I178:M178,Setup!$A$12:$E$12)/5,0)))</f>
        <v/>
      </c>
      <c r="O178" s="74" t="str">
        <f>IF(A178="","",IF(COUNTIFS(Deadlines!$D$6:$D$205,A178,Deadlines!$H$6:$H$205,"&lt;&gt;Completed",Deadlines!$G$6:$G$205,"&lt;&gt;")=0,"",MINIFS(Deadlines!$G$6:$G$205,Deadlines!$D$6:$D$205,A178,Deadlines!$H$6:$H$205,"&lt;&gt;Completed")))</f>
        <v/>
      </c>
      <c r="P178" s="78"/>
      <c r="Q178" s="78"/>
      <c r="R178" s="65"/>
      <c r="S178" s="78"/>
    </row>
    <row r="179" ht="24.0" customHeight="1">
      <c r="A179" s="78"/>
      <c r="B179" s="78"/>
      <c r="C179" s="78"/>
      <c r="D179" s="99"/>
      <c r="E179" s="99"/>
      <c r="F179" s="78"/>
      <c r="G179" s="99"/>
      <c r="H179" s="99"/>
      <c r="I179" s="99"/>
      <c r="J179" s="99"/>
      <c r="K179" s="99"/>
      <c r="L179" s="99"/>
      <c r="M179" s="99"/>
      <c r="N179" s="66" t="str">
        <f>IF(A179="","",IF(COUNT(I179:M179)&lt;5,"",ROUND(SUMPRODUCT(I179:M179,Setup!$A$12:$E$12)/5,0)))</f>
        <v/>
      </c>
      <c r="O179" s="74" t="str">
        <f>IF(A179="","",IF(COUNTIFS(Deadlines!$D$6:$D$205,A179,Deadlines!$H$6:$H$205,"&lt;&gt;Completed",Deadlines!$G$6:$G$205,"&lt;&gt;")=0,"",MINIFS(Deadlines!$G$6:$G$205,Deadlines!$D$6:$D$205,A179,Deadlines!$H$6:$H$205,"&lt;&gt;Completed")))</f>
        <v/>
      </c>
      <c r="P179" s="78"/>
      <c r="Q179" s="78"/>
      <c r="R179" s="65"/>
      <c r="S179" s="78"/>
    </row>
    <row r="180" ht="24.0" customHeight="1">
      <c r="A180" s="78"/>
      <c r="B180" s="78"/>
      <c r="C180" s="78"/>
      <c r="D180" s="99"/>
      <c r="E180" s="99"/>
      <c r="F180" s="78"/>
      <c r="G180" s="99"/>
      <c r="H180" s="99"/>
      <c r="I180" s="99"/>
      <c r="J180" s="99"/>
      <c r="K180" s="99"/>
      <c r="L180" s="99"/>
      <c r="M180" s="99"/>
      <c r="N180" s="66" t="str">
        <f>IF(A180="","",IF(COUNT(I180:M180)&lt;5,"",ROUND(SUMPRODUCT(I180:M180,Setup!$A$12:$E$12)/5,0)))</f>
        <v/>
      </c>
      <c r="O180" s="74" t="str">
        <f>IF(A180="","",IF(COUNTIFS(Deadlines!$D$6:$D$205,A180,Deadlines!$H$6:$H$205,"&lt;&gt;Completed",Deadlines!$G$6:$G$205,"&lt;&gt;")=0,"",MINIFS(Deadlines!$G$6:$G$205,Deadlines!$D$6:$D$205,A180,Deadlines!$H$6:$H$205,"&lt;&gt;Completed")))</f>
        <v/>
      </c>
      <c r="P180" s="78"/>
      <c r="Q180" s="78"/>
      <c r="R180" s="65"/>
      <c r="S180" s="78"/>
    </row>
    <row r="181" ht="24.0" customHeight="1">
      <c r="A181" s="78"/>
      <c r="B181" s="78"/>
      <c r="C181" s="78"/>
      <c r="D181" s="99"/>
      <c r="E181" s="99"/>
      <c r="F181" s="78"/>
      <c r="G181" s="99"/>
      <c r="H181" s="99"/>
      <c r="I181" s="99"/>
      <c r="J181" s="99"/>
      <c r="K181" s="99"/>
      <c r="L181" s="99"/>
      <c r="M181" s="99"/>
      <c r="N181" s="66" t="str">
        <f>IF(A181="","",IF(COUNT(I181:M181)&lt;5,"",ROUND(SUMPRODUCT(I181:M181,Setup!$A$12:$E$12)/5,0)))</f>
        <v/>
      </c>
      <c r="O181" s="74" t="str">
        <f>IF(A181="","",IF(COUNTIFS(Deadlines!$D$6:$D$205,A181,Deadlines!$H$6:$H$205,"&lt;&gt;Completed",Deadlines!$G$6:$G$205,"&lt;&gt;")=0,"",MINIFS(Deadlines!$G$6:$G$205,Deadlines!$D$6:$D$205,A181,Deadlines!$H$6:$H$205,"&lt;&gt;Completed")))</f>
        <v/>
      </c>
      <c r="P181" s="78"/>
      <c r="Q181" s="78"/>
      <c r="R181" s="65"/>
      <c r="S181" s="78"/>
    </row>
    <row r="182" ht="24.0" customHeight="1">
      <c r="A182" s="78"/>
      <c r="B182" s="78"/>
      <c r="C182" s="78"/>
      <c r="D182" s="99"/>
      <c r="E182" s="99"/>
      <c r="F182" s="78"/>
      <c r="G182" s="99"/>
      <c r="H182" s="99"/>
      <c r="I182" s="99"/>
      <c r="J182" s="99"/>
      <c r="K182" s="99"/>
      <c r="L182" s="99"/>
      <c r="M182" s="99"/>
      <c r="N182" s="66" t="str">
        <f>IF(A182="","",IF(COUNT(I182:M182)&lt;5,"",ROUND(SUMPRODUCT(I182:M182,Setup!$A$12:$E$12)/5,0)))</f>
        <v/>
      </c>
      <c r="O182" s="74" t="str">
        <f>IF(A182="","",IF(COUNTIFS(Deadlines!$D$6:$D$205,A182,Deadlines!$H$6:$H$205,"&lt;&gt;Completed",Deadlines!$G$6:$G$205,"&lt;&gt;")=0,"",MINIFS(Deadlines!$G$6:$G$205,Deadlines!$D$6:$D$205,A182,Deadlines!$H$6:$H$205,"&lt;&gt;Completed")))</f>
        <v/>
      </c>
      <c r="P182" s="78"/>
      <c r="Q182" s="78"/>
      <c r="R182" s="65"/>
      <c r="S182" s="78"/>
    </row>
    <row r="183" ht="24.0" customHeight="1">
      <c r="A183" s="78"/>
      <c r="B183" s="78"/>
      <c r="C183" s="78"/>
      <c r="D183" s="99"/>
      <c r="E183" s="99"/>
      <c r="F183" s="78"/>
      <c r="G183" s="99"/>
      <c r="H183" s="99"/>
      <c r="I183" s="99"/>
      <c r="J183" s="99"/>
      <c r="K183" s="99"/>
      <c r="L183" s="99"/>
      <c r="M183" s="99"/>
      <c r="N183" s="66" t="str">
        <f>IF(A183="","",IF(COUNT(I183:M183)&lt;5,"",ROUND(SUMPRODUCT(I183:M183,Setup!$A$12:$E$12)/5,0)))</f>
        <v/>
      </c>
      <c r="O183" s="74" t="str">
        <f>IF(A183="","",IF(COUNTIFS(Deadlines!$D$6:$D$205,A183,Deadlines!$H$6:$H$205,"&lt;&gt;Completed",Deadlines!$G$6:$G$205,"&lt;&gt;")=0,"",MINIFS(Deadlines!$G$6:$G$205,Deadlines!$D$6:$D$205,A183,Deadlines!$H$6:$H$205,"&lt;&gt;Completed")))</f>
        <v/>
      </c>
      <c r="P183" s="78"/>
      <c r="Q183" s="78"/>
      <c r="R183" s="65"/>
      <c r="S183" s="78"/>
    </row>
    <row r="184" ht="24.0" customHeight="1">
      <c r="A184" s="78"/>
      <c r="B184" s="78"/>
      <c r="C184" s="78"/>
      <c r="D184" s="99"/>
      <c r="E184" s="99"/>
      <c r="F184" s="78"/>
      <c r="G184" s="99"/>
      <c r="H184" s="99"/>
      <c r="I184" s="99"/>
      <c r="J184" s="99"/>
      <c r="K184" s="99"/>
      <c r="L184" s="99"/>
      <c r="M184" s="99"/>
      <c r="N184" s="66" t="str">
        <f>IF(A184="","",IF(COUNT(I184:M184)&lt;5,"",ROUND(SUMPRODUCT(I184:M184,Setup!$A$12:$E$12)/5,0)))</f>
        <v/>
      </c>
      <c r="O184" s="74" t="str">
        <f>IF(A184="","",IF(COUNTIFS(Deadlines!$D$6:$D$205,A184,Deadlines!$H$6:$H$205,"&lt;&gt;Completed",Deadlines!$G$6:$G$205,"&lt;&gt;")=0,"",MINIFS(Deadlines!$G$6:$G$205,Deadlines!$D$6:$D$205,A184,Deadlines!$H$6:$H$205,"&lt;&gt;Completed")))</f>
        <v/>
      </c>
      <c r="P184" s="78"/>
      <c r="Q184" s="78"/>
      <c r="R184" s="65"/>
      <c r="S184" s="78"/>
    </row>
    <row r="185" ht="24.0" customHeight="1">
      <c r="A185" s="78"/>
      <c r="B185" s="78"/>
      <c r="C185" s="78"/>
      <c r="D185" s="99"/>
      <c r="E185" s="99"/>
      <c r="F185" s="78"/>
      <c r="G185" s="99"/>
      <c r="H185" s="99"/>
      <c r="I185" s="99"/>
      <c r="J185" s="99"/>
      <c r="K185" s="99"/>
      <c r="L185" s="99"/>
      <c r="M185" s="99"/>
      <c r="N185" s="66" t="str">
        <f>IF(A185="","",IF(COUNT(I185:M185)&lt;5,"",ROUND(SUMPRODUCT(I185:M185,Setup!$A$12:$E$12)/5,0)))</f>
        <v/>
      </c>
      <c r="O185" s="74" t="str">
        <f>IF(A185="","",IF(COUNTIFS(Deadlines!$D$6:$D$205,A185,Deadlines!$H$6:$H$205,"&lt;&gt;Completed",Deadlines!$G$6:$G$205,"&lt;&gt;")=0,"",MINIFS(Deadlines!$G$6:$G$205,Deadlines!$D$6:$D$205,A185,Deadlines!$H$6:$H$205,"&lt;&gt;Completed")))</f>
        <v/>
      </c>
      <c r="P185" s="78"/>
      <c r="Q185" s="78"/>
      <c r="R185" s="65"/>
      <c r="S185" s="78"/>
    </row>
    <row r="186" ht="24.0" customHeight="1">
      <c r="A186" s="78"/>
      <c r="B186" s="78"/>
      <c r="C186" s="78"/>
      <c r="D186" s="99"/>
      <c r="E186" s="99"/>
      <c r="F186" s="78"/>
      <c r="G186" s="99"/>
      <c r="H186" s="99"/>
      <c r="I186" s="99"/>
      <c r="J186" s="99"/>
      <c r="K186" s="99"/>
      <c r="L186" s="99"/>
      <c r="M186" s="99"/>
      <c r="N186" s="66" t="str">
        <f>IF(A186="","",IF(COUNT(I186:M186)&lt;5,"",ROUND(SUMPRODUCT(I186:M186,Setup!$A$12:$E$12)/5,0)))</f>
        <v/>
      </c>
      <c r="O186" s="74" t="str">
        <f>IF(A186="","",IF(COUNTIFS(Deadlines!$D$6:$D$205,A186,Deadlines!$H$6:$H$205,"&lt;&gt;Completed",Deadlines!$G$6:$G$205,"&lt;&gt;")=0,"",MINIFS(Deadlines!$G$6:$G$205,Deadlines!$D$6:$D$205,A186,Deadlines!$H$6:$H$205,"&lt;&gt;Completed")))</f>
        <v/>
      </c>
      <c r="P186" s="78"/>
      <c r="Q186" s="78"/>
      <c r="R186" s="65"/>
      <c r="S186" s="78"/>
    </row>
    <row r="187" ht="24.0" customHeight="1">
      <c r="A187" s="78"/>
      <c r="B187" s="78"/>
      <c r="C187" s="78"/>
      <c r="D187" s="99"/>
      <c r="E187" s="99"/>
      <c r="F187" s="78"/>
      <c r="G187" s="99"/>
      <c r="H187" s="99"/>
      <c r="I187" s="99"/>
      <c r="J187" s="99"/>
      <c r="K187" s="99"/>
      <c r="L187" s="99"/>
      <c r="M187" s="99"/>
      <c r="N187" s="66" t="str">
        <f>IF(A187="","",IF(COUNT(I187:M187)&lt;5,"",ROUND(SUMPRODUCT(I187:M187,Setup!$A$12:$E$12)/5,0)))</f>
        <v/>
      </c>
      <c r="O187" s="74" t="str">
        <f>IF(A187="","",IF(COUNTIFS(Deadlines!$D$6:$D$205,A187,Deadlines!$H$6:$H$205,"&lt;&gt;Completed",Deadlines!$G$6:$G$205,"&lt;&gt;")=0,"",MINIFS(Deadlines!$G$6:$G$205,Deadlines!$D$6:$D$205,A187,Deadlines!$H$6:$H$205,"&lt;&gt;Completed")))</f>
        <v/>
      </c>
      <c r="P187" s="78"/>
      <c r="Q187" s="78"/>
      <c r="R187" s="65"/>
      <c r="S187" s="78"/>
    </row>
    <row r="188" ht="24.0" customHeight="1">
      <c r="A188" s="78"/>
      <c r="B188" s="78"/>
      <c r="C188" s="78"/>
      <c r="D188" s="99"/>
      <c r="E188" s="99"/>
      <c r="F188" s="78"/>
      <c r="G188" s="99"/>
      <c r="H188" s="99"/>
      <c r="I188" s="99"/>
      <c r="J188" s="99"/>
      <c r="K188" s="99"/>
      <c r="L188" s="99"/>
      <c r="M188" s="99"/>
      <c r="N188" s="66" t="str">
        <f>IF(A188="","",IF(COUNT(I188:M188)&lt;5,"",ROUND(SUMPRODUCT(I188:M188,Setup!$A$12:$E$12)/5,0)))</f>
        <v/>
      </c>
      <c r="O188" s="74" t="str">
        <f>IF(A188="","",IF(COUNTIFS(Deadlines!$D$6:$D$205,A188,Deadlines!$H$6:$H$205,"&lt;&gt;Completed",Deadlines!$G$6:$G$205,"&lt;&gt;")=0,"",MINIFS(Deadlines!$G$6:$G$205,Deadlines!$D$6:$D$205,A188,Deadlines!$H$6:$H$205,"&lt;&gt;Completed")))</f>
        <v/>
      </c>
      <c r="P188" s="78"/>
      <c r="Q188" s="78"/>
      <c r="R188" s="65"/>
      <c r="S188" s="78"/>
    </row>
    <row r="189" ht="24.0" customHeight="1">
      <c r="A189" s="78"/>
      <c r="B189" s="78"/>
      <c r="C189" s="78"/>
      <c r="D189" s="99"/>
      <c r="E189" s="99"/>
      <c r="F189" s="78"/>
      <c r="G189" s="99"/>
      <c r="H189" s="99"/>
      <c r="I189" s="99"/>
      <c r="J189" s="99"/>
      <c r="K189" s="99"/>
      <c r="L189" s="99"/>
      <c r="M189" s="99"/>
      <c r="N189" s="66" t="str">
        <f>IF(A189="","",IF(COUNT(I189:M189)&lt;5,"",ROUND(SUMPRODUCT(I189:M189,Setup!$A$12:$E$12)/5,0)))</f>
        <v/>
      </c>
      <c r="O189" s="74" t="str">
        <f>IF(A189="","",IF(COUNTIFS(Deadlines!$D$6:$D$205,A189,Deadlines!$H$6:$H$205,"&lt;&gt;Completed",Deadlines!$G$6:$G$205,"&lt;&gt;")=0,"",MINIFS(Deadlines!$G$6:$G$205,Deadlines!$D$6:$D$205,A189,Deadlines!$H$6:$H$205,"&lt;&gt;Completed")))</f>
        <v/>
      </c>
      <c r="P189" s="78"/>
      <c r="Q189" s="78"/>
      <c r="R189" s="65"/>
      <c r="S189" s="78"/>
    </row>
    <row r="190" ht="24.0" customHeight="1">
      <c r="A190" s="78"/>
      <c r="B190" s="78"/>
      <c r="C190" s="78"/>
      <c r="D190" s="99"/>
      <c r="E190" s="99"/>
      <c r="F190" s="78"/>
      <c r="G190" s="99"/>
      <c r="H190" s="99"/>
      <c r="I190" s="99"/>
      <c r="J190" s="99"/>
      <c r="K190" s="99"/>
      <c r="L190" s="99"/>
      <c r="M190" s="99"/>
      <c r="N190" s="66" t="str">
        <f>IF(A190="","",IF(COUNT(I190:M190)&lt;5,"",ROUND(SUMPRODUCT(I190:M190,Setup!$A$12:$E$12)/5,0)))</f>
        <v/>
      </c>
      <c r="O190" s="74" t="str">
        <f>IF(A190="","",IF(COUNTIFS(Deadlines!$D$6:$D$205,A190,Deadlines!$H$6:$H$205,"&lt;&gt;Completed",Deadlines!$G$6:$G$205,"&lt;&gt;")=0,"",MINIFS(Deadlines!$G$6:$G$205,Deadlines!$D$6:$D$205,A190,Deadlines!$H$6:$H$205,"&lt;&gt;Completed")))</f>
        <v/>
      </c>
      <c r="P190" s="78"/>
      <c r="Q190" s="78"/>
      <c r="R190" s="65"/>
      <c r="S190" s="78"/>
    </row>
    <row r="191" ht="24.0" customHeight="1">
      <c r="A191" s="78"/>
      <c r="B191" s="78"/>
      <c r="C191" s="78"/>
      <c r="D191" s="99"/>
      <c r="E191" s="99"/>
      <c r="F191" s="78"/>
      <c r="G191" s="99"/>
      <c r="H191" s="99"/>
      <c r="I191" s="99"/>
      <c r="J191" s="99"/>
      <c r="K191" s="99"/>
      <c r="L191" s="99"/>
      <c r="M191" s="99"/>
      <c r="N191" s="66" t="str">
        <f>IF(A191="","",IF(COUNT(I191:M191)&lt;5,"",ROUND(SUMPRODUCT(I191:M191,Setup!$A$12:$E$12)/5,0)))</f>
        <v/>
      </c>
      <c r="O191" s="74" t="str">
        <f>IF(A191="","",IF(COUNTIFS(Deadlines!$D$6:$D$205,A191,Deadlines!$H$6:$H$205,"&lt;&gt;Completed",Deadlines!$G$6:$G$205,"&lt;&gt;")=0,"",MINIFS(Deadlines!$G$6:$G$205,Deadlines!$D$6:$D$205,A191,Deadlines!$H$6:$H$205,"&lt;&gt;Completed")))</f>
        <v/>
      </c>
      <c r="P191" s="78"/>
      <c r="Q191" s="78"/>
      <c r="R191" s="65"/>
      <c r="S191" s="78"/>
    </row>
    <row r="192" ht="24.0" customHeight="1">
      <c r="A192" s="78"/>
      <c r="B192" s="78"/>
      <c r="C192" s="78"/>
      <c r="D192" s="99"/>
      <c r="E192" s="99"/>
      <c r="F192" s="78"/>
      <c r="G192" s="99"/>
      <c r="H192" s="99"/>
      <c r="I192" s="99"/>
      <c r="J192" s="99"/>
      <c r="K192" s="99"/>
      <c r="L192" s="99"/>
      <c r="M192" s="99"/>
      <c r="N192" s="66" t="str">
        <f>IF(A192="","",IF(COUNT(I192:M192)&lt;5,"",ROUND(SUMPRODUCT(I192:M192,Setup!$A$12:$E$12)/5,0)))</f>
        <v/>
      </c>
      <c r="O192" s="74" t="str">
        <f>IF(A192="","",IF(COUNTIFS(Deadlines!$D$6:$D$205,A192,Deadlines!$H$6:$H$205,"&lt;&gt;Completed",Deadlines!$G$6:$G$205,"&lt;&gt;")=0,"",MINIFS(Deadlines!$G$6:$G$205,Deadlines!$D$6:$D$205,A192,Deadlines!$H$6:$H$205,"&lt;&gt;Completed")))</f>
        <v/>
      </c>
      <c r="P192" s="78"/>
      <c r="Q192" s="78"/>
      <c r="R192" s="65"/>
      <c r="S192" s="78"/>
    </row>
    <row r="193" ht="24.0" customHeight="1">
      <c r="A193" s="78"/>
      <c r="B193" s="78"/>
      <c r="C193" s="78"/>
      <c r="D193" s="99"/>
      <c r="E193" s="99"/>
      <c r="F193" s="78"/>
      <c r="G193" s="99"/>
      <c r="H193" s="99"/>
      <c r="I193" s="99"/>
      <c r="J193" s="99"/>
      <c r="K193" s="99"/>
      <c r="L193" s="99"/>
      <c r="M193" s="99"/>
      <c r="N193" s="66" t="str">
        <f>IF(A193="","",IF(COUNT(I193:M193)&lt;5,"",ROUND(SUMPRODUCT(I193:M193,Setup!$A$12:$E$12)/5,0)))</f>
        <v/>
      </c>
      <c r="O193" s="74" t="str">
        <f>IF(A193="","",IF(COUNTIFS(Deadlines!$D$6:$D$205,A193,Deadlines!$H$6:$H$205,"&lt;&gt;Completed",Deadlines!$G$6:$G$205,"&lt;&gt;")=0,"",MINIFS(Deadlines!$G$6:$G$205,Deadlines!$D$6:$D$205,A193,Deadlines!$H$6:$H$205,"&lt;&gt;Completed")))</f>
        <v/>
      </c>
      <c r="P193" s="78"/>
      <c r="Q193" s="78"/>
      <c r="R193" s="65"/>
      <c r="S193" s="78"/>
    </row>
    <row r="194" ht="24.0" customHeight="1">
      <c r="A194" s="78"/>
      <c r="B194" s="78"/>
      <c r="C194" s="78"/>
      <c r="D194" s="99"/>
      <c r="E194" s="99"/>
      <c r="F194" s="78"/>
      <c r="G194" s="99"/>
      <c r="H194" s="99"/>
      <c r="I194" s="99"/>
      <c r="J194" s="99"/>
      <c r="K194" s="99"/>
      <c r="L194" s="99"/>
      <c r="M194" s="99"/>
      <c r="N194" s="66" t="str">
        <f>IF(A194="","",IF(COUNT(I194:M194)&lt;5,"",ROUND(SUMPRODUCT(I194:M194,Setup!$A$12:$E$12)/5,0)))</f>
        <v/>
      </c>
      <c r="O194" s="74" t="str">
        <f>IF(A194="","",IF(COUNTIFS(Deadlines!$D$6:$D$205,A194,Deadlines!$H$6:$H$205,"&lt;&gt;Completed",Deadlines!$G$6:$G$205,"&lt;&gt;")=0,"",MINIFS(Deadlines!$G$6:$G$205,Deadlines!$D$6:$D$205,A194,Deadlines!$H$6:$H$205,"&lt;&gt;Completed")))</f>
        <v/>
      </c>
      <c r="P194" s="78"/>
      <c r="Q194" s="78"/>
      <c r="R194" s="65"/>
      <c r="S194" s="78"/>
    </row>
    <row r="195" ht="24.0" customHeight="1">
      <c r="A195" s="78"/>
      <c r="B195" s="78"/>
      <c r="C195" s="78"/>
      <c r="D195" s="99"/>
      <c r="E195" s="99"/>
      <c r="F195" s="78"/>
      <c r="G195" s="99"/>
      <c r="H195" s="99"/>
      <c r="I195" s="99"/>
      <c r="J195" s="99"/>
      <c r="K195" s="99"/>
      <c r="L195" s="99"/>
      <c r="M195" s="99"/>
      <c r="N195" s="66" t="str">
        <f>IF(A195="","",IF(COUNT(I195:M195)&lt;5,"",ROUND(SUMPRODUCT(I195:M195,Setup!$A$12:$E$12)/5,0)))</f>
        <v/>
      </c>
      <c r="O195" s="74" t="str">
        <f>IF(A195="","",IF(COUNTIFS(Deadlines!$D$6:$D$205,A195,Deadlines!$H$6:$H$205,"&lt;&gt;Completed",Deadlines!$G$6:$G$205,"&lt;&gt;")=0,"",MINIFS(Deadlines!$G$6:$G$205,Deadlines!$D$6:$D$205,A195,Deadlines!$H$6:$H$205,"&lt;&gt;Completed")))</f>
        <v/>
      </c>
      <c r="P195" s="78"/>
      <c r="Q195" s="78"/>
      <c r="R195" s="65"/>
      <c r="S195" s="78"/>
    </row>
    <row r="196" ht="24.0" customHeight="1">
      <c r="A196" s="78"/>
      <c r="B196" s="78"/>
      <c r="C196" s="78"/>
      <c r="D196" s="99"/>
      <c r="E196" s="99"/>
      <c r="F196" s="78"/>
      <c r="G196" s="99"/>
      <c r="H196" s="99"/>
      <c r="I196" s="99"/>
      <c r="J196" s="99"/>
      <c r="K196" s="99"/>
      <c r="L196" s="99"/>
      <c r="M196" s="99"/>
      <c r="N196" s="66" t="str">
        <f>IF(A196="","",IF(COUNT(I196:M196)&lt;5,"",ROUND(SUMPRODUCT(I196:M196,Setup!$A$12:$E$12)/5,0)))</f>
        <v/>
      </c>
      <c r="O196" s="74" t="str">
        <f>IF(A196="","",IF(COUNTIFS(Deadlines!$D$6:$D$205,A196,Deadlines!$H$6:$H$205,"&lt;&gt;Completed",Deadlines!$G$6:$G$205,"&lt;&gt;")=0,"",MINIFS(Deadlines!$G$6:$G$205,Deadlines!$D$6:$D$205,A196,Deadlines!$H$6:$H$205,"&lt;&gt;Completed")))</f>
        <v/>
      </c>
      <c r="P196" s="78"/>
      <c r="Q196" s="78"/>
      <c r="R196" s="65"/>
      <c r="S196" s="78"/>
    </row>
    <row r="197" ht="24.0" customHeight="1">
      <c r="A197" s="78"/>
      <c r="B197" s="78"/>
      <c r="C197" s="78"/>
      <c r="D197" s="99"/>
      <c r="E197" s="99"/>
      <c r="F197" s="78"/>
      <c r="G197" s="99"/>
      <c r="H197" s="99"/>
      <c r="I197" s="99"/>
      <c r="J197" s="99"/>
      <c r="K197" s="99"/>
      <c r="L197" s="99"/>
      <c r="M197" s="99"/>
      <c r="N197" s="66" t="str">
        <f>IF(A197="","",IF(COUNT(I197:M197)&lt;5,"",ROUND(SUMPRODUCT(I197:M197,Setup!$A$12:$E$12)/5,0)))</f>
        <v/>
      </c>
      <c r="O197" s="74" t="str">
        <f>IF(A197="","",IF(COUNTIFS(Deadlines!$D$6:$D$205,A197,Deadlines!$H$6:$H$205,"&lt;&gt;Completed",Deadlines!$G$6:$G$205,"&lt;&gt;")=0,"",MINIFS(Deadlines!$G$6:$G$205,Deadlines!$D$6:$D$205,A197,Deadlines!$H$6:$H$205,"&lt;&gt;Completed")))</f>
        <v/>
      </c>
      <c r="P197" s="78"/>
      <c r="Q197" s="78"/>
      <c r="R197" s="65"/>
      <c r="S197" s="78"/>
    </row>
    <row r="198" ht="24.0" customHeight="1">
      <c r="A198" s="78"/>
      <c r="B198" s="78"/>
      <c r="C198" s="78"/>
      <c r="D198" s="99"/>
      <c r="E198" s="99"/>
      <c r="F198" s="78"/>
      <c r="G198" s="99"/>
      <c r="H198" s="99"/>
      <c r="I198" s="99"/>
      <c r="J198" s="99"/>
      <c r="K198" s="99"/>
      <c r="L198" s="99"/>
      <c r="M198" s="99"/>
      <c r="N198" s="66" t="str">
        <f>IF(A198="","",IF(COUNT(I198:M198)&lt;5,"",ROUND(SUMPRODUCT(I198:M198,Setup!$A$12:$E$12)/5,0)))</f>
        <v/>
      </c>
      <c r="O198" s="74" t="str">
        <f>IF(A198="","",IF(COUNTIFS(Deadlines!$D$6:$D$205,A198,Deadlines!$H$6:$H$205,"&lt;&gt;Completed",Deadlines!$G$6:$G$205,"&lt;&gt;")=0,"",MINIFS(Deadlines!$G$6:$G$205,Deadlines!$D$6:$D$205,A198,Deadlines!$H$6:$H$205,"&lt;&gt;Completed")))</f>
        <v/>
      </c>
      <c r="P198" s="78"/>
      <c r="Q198" s="78"/>
      <c r="R198" s="65"/>
      <c r="S198" s="78"/>
    </row>
    <row r="199" ht="24.0" customHeight="1">
      <c r="A199" s="78"/>
      <c r="B199" s="78"/>
      <c r="C199" s="78"/>
      <c r="D199" s="99"/>
      <c r="E199" s="99"/>
      <c r="F199" s="78"/>
      <c r="G199" s="99"/>
      <c r="H199" s="99"/>
      <c r="I199" s="99"/>
      <c r="J199" s="99"/>
      <c r="K199" s="99"/>
      <c r="L199" s="99"/>
      <c r="M199" s="99"/>
      <c r="N199" s="66" t="str">
        <f>IF(A199="","",IF(COUNT(I199:M199)&lt;5,"",ROUND(SUMPRODUCT(I199:M199,Setup!$A$12:$E$12)/5,0)))</f>
        <v/>
      </c>
      <c r="O199" s="74" t="str">
        <f>IF(A199="","",IF(COUNTIFS(Deadlines!$D$6:$D$205,A199,Deadlines!$H$6:$H$205,"&lt;&gt;Completed",Deadlines!$G$6:$G$205,"&lt;&gt;")=0,"",MINIFS(Deadlines!$G$6:$G$205,Deadlines!$D$6:$D$205,A199,Deadlines!$H$6:$H$205,"&lt;&gt;Completed")))</f>
        <v/>
      </c>
      <c r="P199" s="78"/>
      <c r="Q199" s="78"/>
      <c r="R199" s="65"/>
      <c r="S199" s="78"/>
    </row>
    <row r="200" ht="24.0" customHeight="1">
      <c r="A200" s="78"/>
      <c r="B200" s="78"/>
      <c r="C200" s="78"/>
      <c r="D200" s="99"/>
      <c r="E200" s="99"/>
      <c r="F200" s="78"/>
      <c r="G200" s="99"/>
      <c r="H200" s="99"/>
      <c r="I200" s="99"/>
      <c r="J200" s="99"/>
      <c r="K200" s="99"/>
      <c r="L200" s="99"/>
      <c r="M200" s="99"/>
      <c r="N200" s="66" t="str">
        <f>IF(A200="","",IF(COUNT(I200:M200)&lt;5,"",ROUND(SUMPRODUCT(I200:M200,Setup!$A$12:$E$12)/5,0)))</f>
        <v/>
      </c>
      <c r="O200" s="74" t="str">
        <f>IF(A200="","",IF(COUNTIFS(Deadlines!$D$6:$D$205,A200,Deadlines!$H$6:$H$205,"&lt;&gt;Completed",Deadlines!$G$6:$G$205,"&lt;&gt;")=0,"",MINIFS(Deadlines!$G$6:$G$205,Deadlines!$D$6:$D$205,A200,Deadlines!$H$6:$H$205,"&lt;&gt;Completed")))</f>
        <v/>
      </c>
      <c r="P200" s="78"/>
      <c r="Q200" s="78"/>
      <c r="R200" s="65"/>
      <c r="S200" s="78"/>
    </row>
    <row r="201" ht="24.0" customHeight="1">
      <c r="A201" s="78"/>
      <c r="B201" s="78"/>
      <c r="C201" s="78"/>
      <c r="D201" s="99"/>
      <c r="E201" s="99"/>
      <c r="F201" s="78"/>
      <c r="G201" s="99"/>
      <c r="H201" s="99"/>
      <c r="I201" s="99"/>
      <c r="J201" s="99"/>
      <c r="K201" s="99"/>
      <c r="L201" s="99"/>
      <c r="M201" s="99"/>
      <c r="N201" s="66" t="str">
        <f>IF(A201="","",IF(COUNT(I201:M201)&lt;5,"",ROUND(SUMPRODUCT(I201:M201,Setup!$A$12:$E$12)/5,0)))</f>
        <v/>
      </c>
      <c r="O201" s="74" t="str">
        <f>IF(A201="","",IF(COUNTIFS(Deadlines!$D$6:$D$205,A201,Deadlines!$H$6:$H$205,"&lt;&gt;Completed",Deadlines!$G$6:$G$205,"&lt;&gt;")=0,"",MINIFS(Deadlines!$G$6:$G$205,Deadlines!$D$6:$D$205,A201,Deadlines!$H$6:$H$205,"&lt;&gt;Completed")))</f>
        <v/>
      </c>
      <c r="P201" s="78"/>
      <c r="Q201" s="78"/>
      <c r="R201" s="65"/>
      <c r="S201" s="78"/>
    </row>
    <row r="202" ht="24.0" customHeight="1">
      <c r="A202" s="78"/>
      <c r="B202" s="78"/>
      <c r="C202" s="78"/>
      <c r="D202" s="99"/>
      <c r="E202" s="99"/>
      <c r="F202" s="78"/>
      <c r="G202" s="99"/>
      <c r="H202" s="99"/>
      <c r="I202" s="99"/>
      <c r="J202" s="99"/>
      <c r="K202" s="99"/>
      <c r="L202" s="99"/>
      <c r="M202" s="99"/>
      <c r="N202" s="66" t="str">
        <f>IF(A202="","",IF(COUNT(I202:M202)&lt;5,"",ROUND(SUMPRODUCT(I202:M202,Setup!$A$12:$E$12)/5,0)))</f>
        <v/>
      </c>
      <c r="O202" s="74" t="str">
        <f>IF(A202="","",IF(COUNTIFS(Deadlines!$D$6:$D$205,A202,Deadlines!$H$6:$H$205,"&lt;&gt;Completed",Deadlines!$G$6:$G$205,"&lt;&gt;")=0,"",MINIFS(Deadlines!$G$6:$G$205,Deadlines!$D$6:$D$205,A202,Deadlines!$H$6:$H$205,"&lt;&gt;Completed")))</f>
        <v/>
      </c>
      <c r="P202" s="78"/>
      <c r="Q202" s="78"/>
      <c r="R202" s="65"/>
      <c r="S202" s="78"/>
    </row>
    <row r="203" ht="24.0" customHeight="1">
      <c r="A203" s="78"/>
      <c r="B203" s="78"/>
      <c r="C203" s="78"/>
      <c r="D203" s="99"/>
      <c r="E203" s="99"/>
      <c r="F203" s="78"/>
      <c r="G203" s="99"/>
      <c r="H203" s="99"/>
      <c r="I203" s="99"/>
      <c r="J203" s="99"/>
      <c r="K203" s="99"/>
      <c r="L203" s="99"/>
      <c r="M203" s="99"/>
      <c r="N203" s="66" t="str">
        <f>IF(A203="","",IF(COUNT(I203:M203)&lt;5,"",ROUND(SUMPRODUCT(I203:M203,Setup!$A$12:$E$12)/5,0)))</f>
        <v/>
      </c>
      <c r="O203" s="74" t="str">
        <f>IF(A203="","",IF(COUNTIFS(Deadlines!$D$6:$D$205,A203,Deadlines!$H$6:$H$205,"&lt;&gt;Completed",Deadlines!$G$6:$G$205,"&lt;&gt;")=0,"",MINIFS(Deadlines!$G$6:$G$205,Deadlines!$D$6:$D$205,A203,Deadlines!$H$6:$H$205,"&lt;&gt;Completed")))</f>
        <v/>
      </c>
      <c r="P203" s="78"/>
      <c r="Q203" s="78"/>
      <c r="R203" s="65"/>
      <c r="S203" s="78"/>
    </row>
    <row r="204" ht="24.0" customHeight="1">
      <c r="A204" s="78"/>
      <c r="B204" s="78"/>
      <c r="C204" s="78"/>
      <c r="D204" s="99"/>
      <c r="E204" s="99"/>
      <c r="F204" s="78"/>
      <c r="G204" s="99"/>
      <c r="H204" s="99"/>
      <c r="I204" s="99"/>
      <c r="J204" s="99"/>
      <c r="K204" s="99"/>
      <c r="L204" s="99"/>
      <c r="M204" s="99"/>
      <c r="N204" s="66" t="str">
        <f>IF(A204="","",IF(COUNT(I204:M204)&lt;5,"",ROUND(SUMPRODUCT(I204:M204,Setup!$A$12:$E$12)/5,0)))</f>
        <v/>
      </c>
      <c r="O204" s="74" t="str">
        <f>IF(A204="","",IF(COUNTIFS(Deadlines!$D$6:$D$205,A204,Deadlines!$H$6:$H$205,"&lt;&gt;Completed",Deadlines!$G$6:$G$205,"&lt;&gt;")=0,"",MINIFS(Deadlines!$G$6:$G$205,Deadlines!$D$6:$D$205,A204,Deadlines!$H$6:$H$205,"&lt;&gt;Completed")))</f>
        <v/>
      </c>
      <c r="P204" s="78"/>
      <c r="Q204" s="78"/>
      <c r="R204" s="65"/>
      <c r="S204" s="78"/>
    </row>
    <row r="205" ht="24.0" customHeight="1">
      <c r="A205" s="78"/>
      <c r="B205" s="78"/>
      <c r="C205" s="78"/>
      <c r="D205" s="99"/>
      <c r="E205" s="99"/>
      <c r="F205" s="78"/>
      <c r="G205" s="99"/>
      <c r="H205" s="99"/>
      <c r="I205" s="99"/>
      <c r="J205" s="99"/>
      <c r="K205" s="99"/>
      <c r="L205" s="99"/>
      <c r="M205" s="99"/>
      <c r="N205" s="66" t="str">
        <f>IF(A205="","",IF(COUNT(I205:M205)&lt;5,"",ROUND(SUMPRODUCT(I205:M205,Setup!$A$12:$E$12)/5,0)))</f>
        <v/>
      </c>
      <c r="O205" s="74" t="str">
        <f>IF(A205="","",IF(COUNTIFS(Deadlines!$D$6:$D$205,A205,Deadlines!$H$6:$H$205,"&lt;&gt;Completed",Deadlines!$G$6:$G$205,"&lt;&gt;")=0,"",MINIFS(Deadlines!$G$6:$G$205,Deadlines!$D$6:$D$205,A205,Deadlines!$H$6:$H$205,"&lt;&gt;Completed")))</f>
        <v/>
      </c>
      <c r="P205" s="78"/>
      <c r="Q205" s="78"/>
      <c r="R205" s="65"/>
      <c r="S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A2:S2"/>
    <mergeCell ref="A3:B3"/>
  </mergeCells>
  <conditionalFormatting sqref="G6:G205">
    <cfRule type="containsText" dxfId="5" priority="1" operator="containsText" text="Submitted">
      <formula>NOT(ISERROR(SEARCH(("Submitted"),(G6))))</formula>
    </cfRule>
  </conditionalFormatting>
  <conditionalFormatting sqref="G6:G205">
    <cfRule type="containsText" dxfId="6" priority="2" operator="containsText" text="Ready">
      <formula>NOT(ISERROR(SEARCH(("Ready"),(G6))))</formula>
    </cfRule>
  </conditionalFormatting>
  <conditionalFormatting sqref="G6:G205">
    <cfRule type="containsText" dxfId="6" priority="3" operator="containsText" text="Admitted">
      <formula>NOT(ISERROR(SEARCH(("Admitted"),(G6))))</formula>
    </cfRule>
  </conditionalFormatting>
  <conditionalFormatting sqref="G6:G205">
    <cfRule type="containsText" dxfId="6" priority="4" operator="containsText" text="Awarded">
      <formula>NOT(ISERROR(SEARCH(("Awarded"),(G6))))</formula>
    </cfRule>
  </conditionalFormatting>
  <conditionalFormatting sqref="G6:G205">
    <cfRule type="containsText" dxfId="6" priority="5" operator="containsText" text="Completed">
      <formula>NOT(ISERROR(SEARCH(("Completed"),(G6))))</formula>
    </cfRule>
  </conditionalFormatting>
  <conditionalFormatting sqref="G6:G205">
    <cfRule type="containsText" dxfId="6" priority="6" operator="containsText" text="Done">
      <formula>NOT(ISERROR(SEARCH(("Done"),(G6))))</formula>
    </cfRule>
  </conditionalFormatting>
  <conditionalFormatting sqref="G6:G205">
    <cfRule type="containsText" dxfId="6" priority="7" operator="containsText" text="Final">
      <formula>NOT(ISERROR(SEARCH(("Final"),(G6))))</formula>
    </cfRule>
  </conditionalFormatting>
  <conditionalFormatting sqref="G6:G205">
    <cfRule type="containsText" dxfId="7" priority="8" operator="containsText" text="Preparing">
      <formula>NOT(ISERROR(SEARCH(("Preparing"),(G6))))</formula>
    </cfRule>
  </conditionalFormatting>
  <conditionalFormatting sqref="G6:G205">
    <cfRule type="containsText" dxfId="7" priority="9" operator="containsText" text="In Progress">
      <formula>NOT(ISERROR(SEARCH(("In Progress"),(G6))))</formula>
    </cfRule>
  </conditionalFormatting>
  <conditionalFormatting sqref="G6:G205">
    <cfRule type="containsText" dxfId="7" priority="10" operator="containsText" text="Shortlisted">
      <formula>NOT(ISERROR(SEARCH(("Shortlisted"),(G6))))</formula>
    </cfRule>
  </conditionalFormatting>
  <conditionalFormatting sqref="G6:G205">
    <cfRule type="containsText" dxfId="8" priority="11" operator="containsText" text="Researching">
      <formula>NOT(ISERROR(SEARCH(("Researching"),(G6))))</formula>
    </cfRule>
  </conditionalFormatting>
  <conditionalFormatting sqref="G6:G205">
    <cfRule type="containsText" dxfId="8" priority="12" operator="containsText" text="Exploring">
      <formula>NOT(ISERROR(SEARCH(("Exploring"),(G6))))</formula>
    </cfRule>
  </conditionalFormatting>
  <conditionalFormatting sqref="G6:G205">
    <cfRule type="containsText" dxfId="9" priority="13" operator="containsText" text="Needs Verification">
      <formula>NOT(ISERROR(SEARCH(("Needs Verification"),(G6))))</formula>
    </cfRule>
  </conditionalFormatting>
  <conditionalFormatting sqref="G6:G205">
    <cfRule type="containsText" dxfId="10" priority="14" operator="containsText" text="Overdue">
      <formula>NOT(ISERROR(SEARCH(("Overdue"),(G6))))</formula>
    </cfRule>
  </conditionalFormatting>
  <conditionalFormatting sqref="G6:G205">
    <cfRule type="containsText" dxfId="10" priority="15" operator="containsText" text="Rejected">
      <formula>NOT(ISERROR(SEARCH(("Rejected"),(G6))))</formula>
    </cfRule>
  </conditionalFormatting>
  <conditionalFormatting sqref="G6:G205">
    <cfRule type="containsText" dxfId="10" priority="16" operator="containsText" text="Blocked">
      <formula>NOT(ISERROR(SEARCH(("Blocked"),(G6))))</formula>
    </cfRule>
  </conditionalFormatting>
  <conditionalFormatting sqref="O6:O205">
    <cfRule type="expression" dxfId="10" priority="17">
      <formula>AND(O6&lt;&gt;"",O6&lt;TODAY())</formula>
    </cfRule>
  </conditionalFormatting>
  <conditionalFormatting sqref="O6:O205">
    <cfRule type="expression" dxfId="9" priority="18">
      <formula>AND(O6&gt;=TODAY(),O6&lt;=TODAY()+7)</formula>
    </cfRule>
  </conditionalFormatting>
  <dataValidations>
    <dataValidation type="list" allowBlank="1" showErrorMessage="1" sqref="H6:H205">
      <formula1>"1,2,3,4,5"</formula1>
    </dataValidation>
    <dataValidation type="list" allowBlank="1" showErrorMessage="1" sqref="D6:D205">
      <formula1>"MSc,MEng,MA,PhD,Other"</formula1>
    </dataValidation>
    <dataValidation type="list" allowBlank="1" showErrorMessage="1" sqref="E6:E205">
      <formula1>"France,Switzerland,Germany,United Kingdom (UK),Netherlands,China,Canada,Japan,Erasmus Mundus (Multi-country),Other"</formula1>
    </dataValidation>
    <dataValidation type="list" allowBlank="1" showErrorMessage="1" sqref="G6:G205">
      <formula1>"Exploring,Shortlisted,Applying,Applied,Closed,Archived"</formula1>
    </dataValidation>
    <dataValidation type="custom" allowBlank="1" showDropDown="1" sqref="O6:O205 R6:R205">
      <formula1>OR(NOT(ISERROR(DATEVALUE(O6))), AND(ISNUMBER(O6), LEFT(CELL("format", O6))="D"))</formula1>
    </dataValidation>
    <dataValidation type="custom" allowBlank="1" showDropDown="1" sqref="N6:N205">
      <formula1>AND(ISNUMBER(N6),(NOT(OR(NOT(ISERROR(DATEVALUE(N6))), AND(ISNUMBER(N6), LEFT(CELL("format", N6))="D")))))</formula1>
    </dataValidation>
    <dataValidation allowBlank="1" showDropDown="1" sqref="A6:C205 F6:F205 P6:Q205 S6:S205"/>
    <dataValidation type="list" allowBlank="1" showErrorMessage="1" sqref="I6:M205">
      <formula1>"0,1,2,3,4,5"</formula1>
    </dataValidation>
  </dataValidations>
  <hyperlinks>
    <hyperlink r:id="rId1" ref="P6"/>
    <hyperlink r:id="rId2" ref="P7"/>
    <hyperlink r:id="rId3" ref="P8"/>
    <hyperlink r:id="rId4" ref="P9"/>
    <hyperlink r:id="rId5" ref="P10"/>
    <hyperlink r:id="rId6" ref="P11"/>
    <hyperlink r:id="rId7" ref="P12"/>
    <hyperlink r:id="rId8" ref="P13"/>
    <hyperlink r:id="rId9" ref="P14"/>
    <hyperlink r:id="rId10" ref="P15"/>
    <hyperlink r:id="rId11" ref="P16"/>
    <hyperlink r:id="rId12" ref="P17"/>
  </hyperlinks>
  <printOptions/>
  <pageMargins bottom="0.75" footer="0.0" header="0.0" left="0.7" right="0.7" top="0.75"/>
  <pageSetup orientation="landscape"/>
  <drawing r:id="rId13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34.75"/>
    <col customWidth="1" min="3" max="3" width="24.0"/>
    <col customWidth="1" min="4" max="4" width="22.0"/>
    <col customWidth="1" min="5" max="5" width="19.25"/>
    <col customWidth="1" min="6" max="6" width="18.5"/>
    <col customWidth="1" min="7" max="7" width="14.88"/>
    <col customWidth="1" min="8" max="8" width="15.25"/>
    <col customWidth="1" min="9" max="9" width="37.63"/>
    <col customWidth="1" min="10" max="10" width="18.5"/>
    <col customWidth="1" min="11" max="12" width="18.0"/>
    <col customWidth="1" min="13" max="13" width="13.0"/>
    <col customWidth="1" min="14" max="14" width="17.25"/>
    <col customWidth="1" min="15" max="15" width="14.63"/>
    <col customWidth="1" min="16" max="16" width="30.0"/>
    <col customWidth="1" min="17" max="17" width="15.0"/>
    <col customWidth="1" min="18" max="18" width="37.63"/>
    <col customWidth="1" min="19" max="21" width="15.75"/>
    <col customWidth="1" min="22" max="26" width="8.63"/>
  </cols>
  <sheetData>
    <row r="1" ht="33.75" customHeight="1">
      <c r="A1" s="1" t="s">
        <v>31</v>
      </c>
    </row>
    <row r="2" ht="27.75" customHeight="1">
      <c r="A2" s="2" t="s">
        <v>34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31.5" customHeight="1">
      <c r="A5" s="28" t="s">
        <v>47</v>
      </c>
      <c r="B5" s="28" t="s">
        <v>55</v>
      </c>
      <c r="C5" s="28" t="s">
        <v>58</v>
      </c>
      <c r="D5" s="28" t="s">
        <v>62</v>
      </c>
      <c r="E5" s="28" t="s">
        <v>50</v>
      </c>
      <c r="F5" s="28" t="s">
        <v>67</v>
      </c>
      <c r="G5" s="28" t="s">
        <v>69</v>
      </c>
      <c r="H5" s="28" t="s">
        <v>71</v>
      </c>
      <c r="I5" s="28" t="s">
        <v>72</v>
      </c>
      <c r="J5" s="28" t="s">
        <v>74</v>
      </c>
      <c r="K5" s="28" t="s">
        <v>79</v>
      </c>
      <c r="L5" s="28" t="s">
        <v>70</v>
      </c>
      <c r="M5" s="28" t="s">
        <v>73</v>
      </c>
      <c r="N5" s="28" t="s">
        <v>81</v>
      </c>
      <c r="O5" s="28" t="s">
        <v>82</v>
      </c>
      <c r="P5" s="28" t="s">
        <v>83</v>
      </c>
      <c r="Q5" s="28" t="s">
        <v>84</v>
      </c>
      <c r="R5" s="28" t="s">
        <v>85</v>
      </c>
      <c r="S5" s="29" t="s">
        <v>86</v>
      </c>
      <c r="T5" s="29" t="s">
        <v>87</v>
      </c>
      <c r="U5" s="29" t="s">
        <v>88</v>
      </c>
      <c r="V5" s="30" t="s">
        <v>85</v>
      </c>
    </row>
    <row r="6" ht="24.0" customHeight="1">
      <c r="A6" s="34" t="s">
        <v>89</v>
      </c>
      <c r="B6" s="38" t="s">
        <v>90</v>
      </c>
      <c r="C6" s="38" t="s">
        <v>91</v>
      </c>
      <c r="D6" s="38" t="s">
        <v>92</v>
      </c>
      <c r="E6" s="38" t="s">
        <v>93</v>
      </c>
      <c r="F6" s="40" t="s">
        <v>94</v>
      </c>
      <c r="G6" s="41">
        <v>8500.0</v>
      </c>
      <c r="H6" s="40" t="s">
        <v>97</v>
      </c>
      <c r="I6" s="38" t="s">
        <v>98</v>
      </c>
      <c r="J6" s="44" t="s">
        <v>100</v>
      </c>
      <c r="K6" s="40" t="s">
        <v>102</v>
      </c>
      <c r="L6" s="40" t="s">
        <v>103</v>
      </c>
      <c r="M6" s="40">
        <v>5.0</v>
      </c>
      <c r="N6" s="45"/>
      <c r="O6" s="46" t="str">
        <f t="shared" ref="O6:O205" si="1">IF(N6="","",N6-TODAY())</f>
        <v/>
      </c>
      <c r="P6" s="49" t="s">
        <v>104</v>
      </c>
      <c r="Q6" s="51">
        <v>46256.0</v>
      </c>
      <c r="R6" s="52" t="s">
        <v>111</v>
      </c>
      <c r="S6" s="54">
        <f>IF(OR(G6="",H6=""),"",IFERROR(G6*VLOOKUP(H6,Setup!$A$38:$E$52,5,FALSE),""))</f>
        <v>110653</v>
      </c>
      <c r="T6" s="54">
        <f>IF(S6="","",IFERROR(S6/VLOOKUP("EUR",Setup!$A$38:$E$52,5,FALSE),""))</f>
        <v>8500</v>
      </c>
      <c r="U6" s="54">
        <f>IF(S6="","",IFERROR(S6/VLOOKUP("USD",Setup!$A$38:$E$52,5,FALSE),""))</f>
        <v>9935.227485</v>
      </c>
    </row>
    <row r="7" ht="24.0" customHeight="1">
      <c r="A7" s="58" t="s">
        <v>119</v>
      </c>
      <c r="B7" s="58" t="s">
        <v>121</v>
      </c>
      <c r="C7" s="58" t="s">
        <v>122</v>
      </c>
      <c r="D7" s="58" t="s">
        <v>123</v>
      </c>
      <c r="E7" s="58" t="s">
        <v>124</v>
      </c>
      <c r="F7" s="59" t="s">
        <v>125</v>
      </c>
      <c r="G7" s="61">
        <v>3600.0</v>
      </c>
      <c r="H7" s="59" t="s">
        <v>97</v>
      </c>
      <c r="I7" s="58" t="s">
        <v>127</v>
      </c>
      <c r="J7" s="64" t="s">
        <v>130</v>
      </c>
      <c r="K7" s="59" t="s">
        <v>102</v>
      </c>
      <c r="L7" s="59" t="s">
        <v>103</v>
      </c>
      <c r="M7" s="59">
        <v>3.0</v>
      </c>
      <c r="N7" s="65"/>
      <c r="O7" s="66" t="str">
        <f t="shared" si="1"/>
        <v/>
      </c>
      <c r="P7" s="70" t="s">
        <v>133</v>
      </c>
      <c r="Q7" s="71">
        <v>46256.0</v>
      </c>
      <c r="R7" s="58" t="s">
        <v>138</v>
      </c>
      <c r="S7" s="54">
        <f>IF(OR(G7="",H7=""),"",IFERROR(G7*VLOOKUP(H7,Setup!$A$38:$E$52,5,FALSE),""))</f>
        <v>46864.8</v>
      </c>
      <c r="T7" s="54">
        <f>IF(S7="","",IFERROR(S7/VLOOKUP("EUR",Setup!$A$38:$E$52,5,FALSE),""))</f>
        <v>3600</v>
      </c>
      <c r="U7" s="54">
        <f>IF(S7="","",IFERROR(S7/VLOOKUP("USD",Setup!$A$38:$E$52,5,FALSE),""))</f>
        <v>4207.861052</v>
      </c>
    </row>
    <row r="8" ht="24.0" customHeight="1">
      <c r="A8" s="58" t="s">
        <v>157</v>
      </c>
      <c r="B8" s="58" t="s">
        <v>159</v>
      </c>
      <c r="C8" s="58" t="s">
        <v>160</v>
      </c>
      <c r="D8" s="58" t="s">
        <v>92</v>
      </c>
      <c r="E8" s="58" t="s">
        <v>164</v>
      </c>
      <c r="F8" s="59" t="s">
        <v>166</v>
      </c>
      <c r="G8" s="61">
        <v>5000.0</v>
      </c>
      <c r="H8" s="59" t="s">
        <v>97</v>
      </c>
      <c r="I8" s="58" t="s">
        <v>168</v>
      </c>
      <c r="J8" s="64" t="s">
        <v>100</v>
      </c>
      <c r="K8" s="59" t="s">
        <v>102</v>
      </c>
      <c r="L8" s="59" t="s">
        <v>103</v>
      </c>
      <c r="M8" s="59">
        <v>5.0</v>
      </c>
      <c r="N8" s="65"/>
      <c r="O8" s="66" t="str">
        <f t="shared" si="1"/>
        <v/>
      </c>
      <c r="P8" s="70" t="s">
        <v>171</v>
      </c>
      <c r="Q8" s="71">
        <v>46256.0</v>
      </c>
      <c r="R8" s="58" t="s">
        <v>173</v>
      </c>
      <c r="S8" s="54">
        <f>IF(OR(G8="",H8=""),"",IFERROR(G8*VLOOKUP(H8,Setup!$A$38:$E$52,5,FALSE),""))</f>
        <v>65090</v>
      </c>
      <c r="T8" s="54">
        <f>IF(S8="","",IFERROR(S8/VLOOKUP("EUR",Setup!$A$38:$E$52,5,FALSE),""))</f>
        <v>5000</v>
      </c>
      <c r="U8" s="54">
        <f>IF(S8="","",IFERROR(S8/VLOOKUP("USD",Setup!$A$38:$E$52,5,FALSE),""))</f>
        <v>5844.251462</v>
      </c>
    </row>
    <row r="9" ht="24.0" customHeight="1">
      <c r="A9" s="58" t="s">
        <v>178</v>
      </c>
      <c r="B9" s="58" t="s">
        <v>121</v>
      </c>
      <c r="C9" s="58" t="s">
        <v>122</v>
      </c>
      <c r="D9" s="58" t="s">
        <v>123</v>
      </c>
      <c r="E9" s="58" t="s">
        <v>179</v>
      </c>
      <c r="F9" s="59" t="s">
        <v>125</v>
      </c>
      <c r="G9" s="61">
        <v>3600.0</v>
      </c>
      <c r="H9" s="59" t="s">
        <v>97</v>
      </c>
      <c r="I9" s="58" t="s">
        <v>127</v>
      </c>
      <c r="J9" s="64" t="s">
        <v>181</v>
      </c>
      <c r="K9" s="59" t="s">
        <v>102</v>
      </c>
      <c r="L9" s="59" t="s">
        <v>103</v>
      </c>
      <c r="M9" s="59">
        <v>3.0</v>
      </c>
      <c r="N9" s="65"/>
      <c r="O9" s="66" t="str">
        <f t="shared" si="1"/>
        <v/>
      </c>
      <c r="P9" s="70" t="s">
        <v>133</v>
      </c>
      <c r="Q9" s="71">
        <v>46256.0</v>
      </c>
      <c r="R9" s="58" t="s">
        <v>138</v>
      </c>
      <c r="S9" s="54">
        <f>IF(OR(G9="",H9=""),"",IFERROR(G9*VLOOKUP(H9,Setup!$A$38:$E$52,5,FALSE),""))</f>
        <v>46864.8</v>
      </c>
      <c r="T9" s="54">
        <f>IF(S9="","",IFERROR(S9/VLOOKUP("EUR",Setup!$A$38:$E$52,5,FALSE),""))</f>
        <v>3600</v>
      </c>
      <c r="U9" s="54">
        <f>IF(S9="","",IFERROR(S9/VLOOKUP("USD",Setup!$A$38:$E$52,5,FALSE),""))</f>
        <v>4207.861052</v>
      </c>
    </row>
    <row r="10" ht="24.0" customHeight="1">
      <c r="A10" s="58" t="s">
        <v>190</v>
      </c>
      <c r="B10" s="58" t="s">
        <v>191</v>
      </c>
      <c r="C10" s="58" t="s">
        <v>192</v>
      </c>
      <c r="D10" s="58" t="s">
        <v>92</v>
      </c>
      <c r="E10" s="58" t="s">
        <v>193</v>
      </c>
      <c r="F10" s="59" t="s">
        <v>125</v>
      </c>
      <c r="G10" s="61">
        <v>9000.0</v>
      </c>
      <c r="H10" s="59" t="s">
        <v>97</v>
      </c>
      <c r="I10" s="58" t="s">
        <v>194</v>
      </c>
      <c r="J10" s="64" t="s">
        <v>196</v>
      </c>
      <c r="K10" s="64" t="s">
        <v>198</v>
      </c>
      <c r="L10" s="59" t="s">
        <v>103</v>
      </c>
      <c r="M10" s="59">
        <v>5.0</v>
      </c>
      <c r="N10" s="65"/>
      <c r="O10" s="66" t="str">
        <f t="shared" si="1"/>
        <v/>
      </c>
      <c r="P10" s="70" t="s">
        <v>200</v>
      </c>
      <c r="Q10" s="71">
        <v>46256.0</v>
      </c>
      <c r="R10" s="58" t="s">
        <v>201</v>
      </c>
      <c r="S10" s="54">
        <f>IF(OR(G10="",H10=""),"",IFERROR(G10*VLOOKUP(H10,Setup!$A$38:$E$52,5,FALSE),""))</f>
        <v>117162</v>
      </c>
      <c r="T10" s="54">
        <f>IF(S10="","",IFERROR(S10/VLOOKUP("EUR",Setup!$A$38:$E$52,5,FALSE),""))</f>
        <v>9000</v>
      </c>
      <c r="U10" s="54">
        <f>IF(S10="","",IFERROR(S10/VLOOKUP("USD",Setup!$A$38:$E$52,5,FALSE),""))</f>
        <v>10519.65263</v>
      </c>
    </row>
    <row r="11" ht="24.0" customHeight="1">
      <c r="A11" s="58" t="s">
        <v>205</v>
      </c>
      <c r="B11" s="58" t="s">
        <v>206</v>
      </c>
      <c r="C11" s="58" t="s">
        <v>207</v>
      </c>
      <c r="D11" s="58" t="s">
        <v>92</v>
      </c>
      <c r="E11" s="58" t="s">
        <v>208</v>
      </c>
      <c r="F11" s="59" t="s">
        <v>209</v>
      </c>
      <c r="G11" s="104"/>
      <c r="H11" s="59" t="s">
        <v>97</v>
      </c>
      <c r="I11" s="58" t="s">
        <v>212</v>
      </c>
      <c r="J11" s="64" t="s">
        <v>213</v>
      </c>
      <c r="K11" s="59" t="s">
        <v>102</v>
      </c>
      <c r="L11" s="59" t="s">
        <v>103</v>
      </c>
      <c r="M11" s="59">
        <v>4.0</v>
      </c>
      <c r="N11" s="65"/>
      <c r="O11" s="66" t="str">
        <f t="shared" si="1"/>
        <v/>
      </c>
      <c r="P11" s="70" t="s">
        <v>214</v>
      </c>
      <c r="Q11" s="71">
        <v>46256.0</v>
      </c>
      <c r="R11" s="58" t="s">
        <v>215</v>
      </c>
      <c r="S11" s="54" t="str">
        <f>IF(OR(G11="",H11=""),"",IFERROR(G11*VLOOKUP(H11,Setup!$A$38:$E$52,5,FALSE),""))</f>
        <v/>
      </c>
      <c r="T11" s="54" t="str">
        <f>IF(S11="","",IFERROR(S11/VLOOKUP("EUR",Setup!$A$38:$E$52,5,FALSE),""))</f>
        <v/>
      </c>
      <c r="U11" s="54" t="str">
        <f>IF(S11="","",IFERROR(S11/VLOOKUP("USD",Setup!$A$38:$E$52,5,FALSE),""))</f>
        <v/>
      </c>
    </row>
    <row r="12" ht="24.0" customHeight="1">
      <c r="A12" s="58" t="s">
        <v>218</v>
      </c>
      <c r="B12" s="58" t="s">
        <v>219</v>
      </c>
      <c r="C12" s="58" t="s">
        <v>220</v>
      </c>
      <c r="D12" s="58" t="s">
        <v>123</v>
      </c>
      <c r="E12" s="58" t="s">
        <v>221</v>
      </c>
      <c r="F12" s="59" t="s">
        <v>125</v>
      </c>
      <c r="G12" s="61">
        <v>3600.0</v>
      </c>
      <c r="H12" s="59" t="s">
        <v>97</v>
      </c>
      <c r="I12" s="58" t="s">
        <v>222</v>
      </c>
      <c r="J12" s="64" t="s">
        <v>181</v>
      </c>
      <c r="K12" s="59" t="s">
        <v>102</v>
      </c>
      <c r="L12" s="59" t="s">
        <v>103</v>
      </c>
      <c r="M12" s="59">
        <v>3.0</v>
      </c>
      <c r="N12" s="65"/>
      <c r="O12" s="66" t="str">
        <f t="shared" si="1"/>
        <v/>
      </c>
      <c r="P12" s="70" t="s">
        <v>224</v>
      </c>
      <c r="Q12" s="71">
        <v>46256.0</v>
      </c>
      <c r="R12" s="58" t="s">
        <v>225</v>
      </c>
      <c r="S12" s="54">
        <f>IF(OR(G12="",H12=""),"",IFERROR(G12*VLOOKUP(H12,Setup!$A$38:$E$52,5,FALSE),""))</f>
        <v>46864.8</v>
      </c>
      <c r="T12" s="54">
        <f>IF(S12="","",IFERROR(S12/VLOOKUP("EUR",Setup!$A$38:$E$52,5,FALSE),""))</f>
        <v>3600</v>
      </c>
      <c r="U12" s="54">
        <f>IF(S12="","",IFERROR(S12/VLOOKUP("USD",Setup!$A$38:$E$52,5,FALSE),""))</f>
        <v>4207.861052</v>
      </c>
    </row>
    <row r="13" ht="24.0" customHeight="1">
      <c r="A13" s="58" t="s">
        <v>227</v>
      </c>
      <c r="B13" s="58" t="s">
        <v>228</v>
      </c>
      <c r="C13" s="58" t="s">
        <v>229</v>
      </c>
      <c r="D13" s="58" t="s">
        <v>123</v>
      </c>
      <c r="E13" s="58" t="s">
        <v>231</v>
      </c>
      <c r="F13" s="59" t="s">
        <v>125</v>
      </c>
      <c r="G13" s="61">
        <v>3600.0</v>
      </c>
      <c r="H13" s="59" t="s">
        <v>97</v>
      </c>
      <c r="I13" s="58" t="s">
        <v>232</v>
      </c>
      <c r="J13" s="64" t="s">
        <v>181</v>
      </c>
      <c r="K13" s="59" t="s">
        <v>102</v>
      </c>
      <c r="L13" s="59" t="s">
        <v>103</v>
      </c>
      <c r="M13" s="59">
        <v>3.0</v>
      </c>
      <c r="N13" s="65"/>
      <c r="O13" s="66" t="str">
        <f t="shared" si="1"/>
        <v/>
      </c>
      <c r="P13" s="70" t="s">
        <v>234</v>
      </c>
      <c r="Q13" s="71">
        <v>46256.0</v>
      </c>
      <c r="R13" s="58" t="s">
        <v>236</v>
      </c>
      <c r="S13" s="54">
        <f>IF(OR(G13="",H13=""),"",IFERROR(G13*VLOOKUP(H13,Setup!$A$38:$E$52,5,FALSE),""))</f>
        <v>46864.8</v>
      </c>
      <c r="T13" s="54">
        <f>IF(S13="","",IFERROR(S13/VLOOKUP("EUR",Setup!$A$38:$E$52,5,FALSE),""))</f>
        <v>3600</v>
      </c>
      <c r="U13" s="54">
        <f>IF(S13="","",IFERROR(S13/VLOOKUP("USD",Setup!$A$38:$E$52,5,FALSE),""))</f>
        <v>4207.861052</v>
      </c>
    </row>
    <row r="14" ht="24.0" customHeight="1">
      <c r="A14" s="58" t="s">
        <v>254</v>
      </c>
      <c r="B14" s="58" t="s">
        <v>255</v>
      </c>
      <c r="C14" s="58" t="s">
        <v>257</v>
      </c>
      <c r="D14" s="58" t="s">
        <v>92</v>
      </c>
      <c r="E14" s="58" t="s">
        <v>259</v>
      </c>
      <c r="F14" s="59" t="s">
        <v>94</v>
      </c>
      <c r="G14" s="61">
        <v>10000.0</v>
      </c>
      <c r="H14" s="59" t="s">
        <v>97</v>
      </c>
      <c r="I14" s="58" t="s">
        <v>262</v>
      </c>
      <c r="J14" s="64" t="s">
        <v>196</v>
      </c>
      <c r="K14" s="59" t="s">
        <v>102</v>
      </c>
      <c r="L14" s="59" t="s">
        <v>103</v>
      </c>
      <c r="M14" s="59">
        <v>5.0</v>
      </c>
      <c r="N14" s="65"/>
      <c r="O14" s="66" t="str">
        <f t="shared" si="1"/>
        <v/>
      </c>
      <c r="P14" s="70" t="s">
        <v>264</v>
      </c>
      <c r="Q14" s="71">
        <v>46256.0</v>
      </c>
      <c r="R14" s="58" t="s">
        <v>266</v>
      </c>
      <c r="S14" s="54">
        <f>IF(OR(G14="",H14=""),"",IFERROR(G14*VLOOKUP(H14,Setup!$A$38:$E$52,5,FALSE),""))</f>
        <v>130180</v>
      </c>
      <c r="T14" s="54">
        <f>IF(S14="","",IFERROR(S14/VLOOKUP("EUR",Setup!$A$38:$E$52,5,FALSE),""))</f>
        <v>10000</v>
      </c>
      <c r="U14" s="54">
        <f>IF(S14="","",IFERROR(S14/VLOOKUP("USD",Setup!$A$38:$E$52,5,FALSE),""))</f>
        <v>11688.50292</v>
      </c>
    </row>
    <row r="15" ht="24.0" customHeight="1">
      <c r="A15" s="58" t="s">
        <v>268</v>
      </c>
      <c r="B15" s="58" t="s">
        <v>269</v>
      </c>
      <c r="C15" s="58" t="s">
        <v>270</v>
      </c>
      <c r="D15" s="58" t="s">
        <v>92</v>
      </c>
      <c r="E15" s="58" t="s">
        <v>259</v>
      </c>
      <c r="F15" s="59" t="s">
        <v>271</v>
      </c>
      <c r="G15" s="61">
        <v>14400.0</v>
      </c>
      <c r="H15" s="59" t="s">
        <v>97</v>
      </c>
      <c r="I15" s="58" t="s">
        <v>272</v>
      </c>
      <c r="J15" s="64" t="s">
        <v>196</v>
      </c>
      <c r="K15" s="59" t="s">
        <v>102</v>
      </c>
      <c r="L15" s="59" t="s">
        <v>103</v>
      </c>
      <c r="M15" s="59">
        <v>5.0</v>
      </c>
      <c r="N15" s="65"/>
      <c r="O15" s="66" t="str">
        <f t="shared" si="1"/>
        <v/>
      </c>
      <c r="P15" s="70" t="s">
        <v>274</v>
      </c>
      <c r="Q15" s="71">
        <v>46256.0</v>
      </c>
      <c r="R15" s="58" t="s">
        <v>276</v>
      </c>
      <c r="S15" s="54">
        <f>IF(OR(G15="",H15=""),"",IFERROR(G15*VLOOKUP(H15,Setup!$A$38:$E$52,5,FALSE),""))</f>
        <v>187459.2</v>
      </c>
      <c r="T15" s="54">
        <f>IF(S15="","",IFERROR(S15/VLOOKUP("EUR",Setup!$A$38:$E$52,5,FALSE),""))</f>
        <v>14400</v>
      </c>
      <c r="U15" s="54">
        <f>IF(S15="","",IFERROR(S15/VLOOKUP("USD",Setup!$A$38:$E$52,5,FALSE),""))</f>
        <v>16831.44421</v>
      </c>
    </row>
    <row r="16" ht="24.0" customHeight="1">
      <c r="A16" s="58" t="s">
        <v>281</v>
      </c>
      <c r="B16" s="58" t="s">
        <v>282</v>
      </c>
      <c r="C16" s="58" t="s">
        <v>283</v>
      </c>
      <c r="D16" s="58" t="s">
        <v>123</v>
      </c>
      <c r="E16" s="58" t="s">
        <v>277</v>
      </c>
      <c r="F16" s="59" t="s">
        <v>125</v>
      </c>
      <c r="G16" s="61">
        <v>3600.0</v>
      </c>
      <c r="H16" s="59" t="s">
        <v>97</v>
      </c>
      <c r="I16" s="58" t="s">
        <v>285</v>
      </c>
      <c r="J16" s="64" t="s">
        <v>181</v>
      </c>
      <c r="K16" s="59" t="s">
        <v>102</v>
      </c>
      <c r="L16" s="59" t="s">
        <v>103</v>
      </c>
      <c r="M16" s="59">
        <v>3.0</v>
      </c>
      <c r="N16" s="65"/>
      <c r="O16" s="66" t="str">
        <f t="shared" si="1"/>
        <v/>
      </c>
      <c r="P16" s="70" t="s">
        <v>288</v>
      </c>
      <c r="Q16" s="71">
        <v>46256.0</v>
      </c>
      <c r="R16" s="58" t="s">
        <v>289</v>
      </c>
      <c r="S16" s="54">
        <f>IF(OR(G16="",H16=""),"",IFERROR(G16*VLOOKUP(H16,Setup!$A$38:$E$52,5,FALSE),""))</f>
        <v>46864.8</v>
      </c>
      <c r="T16" s="54">
        <f>IF(S16="","",IFERROR(S16/VLOOKUP("EUR",Setup!$A$38:$E$52,5,FALSE),""))</f>
        <v>3600</v>
      </c>
      <c r="U16" s="54">
        <f>IF(S16="","",IFERROR(S16/VLOOKUP("USD",Setup!$A$38:$E$52,5,FALSE),""))</f>
        <v>4207.861052</v>
      </c>
    </row>
    <row r="17" ht="24.0" customHeight="1">
      <c r="A17" s="58" t="s">
        <v>291</v>
      </c>
      <c r="B17" s="58" t="s">
        <v>292</v>
      </c>
      <c r="C17" s="58" t="s">
        <v>293</v>
      </c>
      <c r="D17" s="58" t="s">
        <v>123</v>
      </c>
      <c r="E17" s="58" t="s">
        <v>284</v>
      </c>
      <c r="F17" s="59" t="s">
        <v>125</v>
      </c>
      <c r="G17" s="61">
        <v>3600.0</v>
      </c>
      <c r="H17" s="59" t="s">
        <v>97</v>
      </c>
      <c r="I17" s="58" t="s">
        <v>294</v>
      </c>
      <c r="J17" s="64" t="s">
        <v>130</v>
      </c>
      <c r="K17" s="59" t="s">
        <v>102</v>
      </c>
      <c r="L17" s="59" t="s">
        <v>103</v>
      </c>
      <c r="M17" s="59">
        <v>3.0</v>
      </c>
      <c r="N17" s="65"/>
      <c r="O17" s="66" t="str">
        <f t="shared" si="1"/>
        <v/>
      </c>
      <c r="P17" s="70" t="s">
        <v>296</v>
      </c>
      <c r="Q17" s="71">
        <v>46256.0</v>
      </c>
      <c r="R17" s="58" t="s">
        <v>297</v>
      </c>
      <c r="S17" s="54">
        <f>IF(OR(G17="",H17=""),"",IFERROR(G17*VLOOKUP(H17,Setup!$A$38:$E$52,5,FALSE),""))</f>
        <v>46864.8</v>
      </c>
      <c r="T17" s="54">
        <f>IF(S17="","",IFERROR(S17/VLOOKUP("EUR",Setup!$A$38:$E$52,5,FALSE),""))</f>
        <v>3600</v>
      </c>
      <c r="U17" s="54">
        <f>IF(S17="","",IFERROR(S17/VLOOKUP("USD",Setup!$A$38:$E$52,5,FALSE),""))</f>
        <v>4207.861052</v>
      </c>
    </row>
    <row r="18" ht="24.0" customHeight="1">
      <c r="A18" s="58" t="s">
        <v>301</v>
      </c>
      <c r="B18" s="58" t="s">
        <v>302</v>
      </c>
      <c r="C18" s="58" t="s">
        <v>299</v>
      </c>
      <c r="D18" s="58" t="s">
        <v>92</v>
      </c>
      <c r="E18" s="58" t="s">
        <v>298</v>
      </c>
      <c r="F18" s="59" t="s">
        <v>94</v>
      </c>
      <c r="G18" s="61">
        <v>12000.0</v>
      </c>
      <c r="H18" s="59" t="s">
        <v>97</v>
      </c>
      <c r="I18" s="58" t="s">
        <v>304</v>
      </c>
      <c r="J18" s="64" t="s">
        <v>100</v>
      </c>
      <c r="K18" s="59" t="s">
        <v>102</v>
      </c>
      <c r="L18" s="59" t="s">
        <v>103</v>
      </c>
      <c r="M18" s="59">
        <v>5.0</v>
      </c>
      <c r="N18" s="65"/>
      <c r="O18" s="66" t="str">
        <f t="shared" si="1"/>
        <v/>
      </c>
      <c r="P18" s="70" t="s">
        <v>306</v>
      </c>
      <c r="Q18" s="71">
        <v>46256.0</v>
      </c>
      <c r="R18" s="58" t="s">
        <v>307</v>
      </c>
      <c r="S18" s="54">
        <f>IF(OR(G18="",H18=""),"",IFERROR(G18*VLOOKUP(H18,Setup!$A$38:$E$52,5,FALSE),""))</f>
        <v>156216</v>
      </c>
      <c r="T18" s="54">
        <f>IF(S18="","",IFERROR(S18/VLOOKUP("EUR",Setup!$A$38:$E$52,5,FALSE),""))</f>
        <v>12000</v>
      </c>
      <c r="U18" s="54">
        <f>IF(S18="","",IFERROR(S18/VLOOKUP("USD",Setup!$A$38:$E$52,5,FALSE),""))</f>
        <v>14026.20351</v>
      </c>
    </row>
    <row r="19" ht="24.0" customHeight="1">
      <c r="A19" s="78"/>
      <c r="B19" s="78"/>
      <c r="C19" s="78"/>
      <c r="D19" s="78"/>
      <c r="E19" s="78"/>
      <c r="F19" s="99"/>
      <c r="G19" s="104"/>
      <c r="H19" s="99"/>
      <c r="I19" s="78"/>
      <c r="J19" s="99"/>
      <c r="K19" s="99"/>
      <c r="L19" s="99"/>
      <c r="M19" s="99"/>
      <c r="N19" s="65"/>
      <c r="O19" s="66" t="str">
        <f t="shared" si="1"/>
        <v/>
      </c>
      <c r="P19" s="78"/>
      <c r="Q19" s="65"/>
      <c r="R19" s="78"/>
      <c r="S19" s="54" t="str">
        <f>IF(OR(G19="",H19=""),"",IFERROR(G19*VLOOKUP(H19,Setup!$A$38:$E$52,5,FALSE),""))</f>
        <v/>
      </c>
      <c r="T19" s="54" t="str">
        <f>IF(S19="","",IFERROR(S19/VLOOKUP("EUR",Setup!$A$38:$E$52,5,FALSE),""))</f>
        <v/>
      </c>
      <c r="U19" s="54" t="str">
        <f>IF(S19="","",IFERROR(S19/VLOOKUP("USD",Setup!$A$38:$E$52,5,FALSE),""))</f>
        <v/>
      </c>
    </row>
    <row r="20" ht="24.0" customHeight="1">
      <c r="A20" s="78"/>
      <c r="B20" s="78"/>
      <c r="C20" s="78"/>
      <c r="D20" s="78"/>
      <c r="E20" s="78"/>
      <c r="F20" s="99"/>
      <c r="G20" s="104"/>
      <c r="H20" s="99"/>
      <c r="I20" s="78"/>
      <c r="J20" s="99"/>
      <c r="K20" s="99"/>
      <c r="L20" s="99"/>
      <c r="M20" s="99"/>
      <c r="N20" s="65"/>
      <c r="O20" s="66" t="str">
        <f t="shared" si="1"/>
        <v/>
      </c>
      <c r="P20" s="78"/>
      <c r="Q20" s="65"/>
      <c r="R20" s="78"/>
      <c r="S20" s="54" t="str">
        <f>IF(OR(G20="",H20=""),"",IFERROR(G20*VLOOKUP(H20,Setup!$A$38:$E$52,5,FALSE),""))</f>
        <v/>
      </c>
      <c r="T20" s="54" t="str">
        <f>IF(S20="","",IFERROR(S20/VLOOKUP("EUR",Setup!$A$38:$E$52,5,FALSE),""))</f>
        <v/>
      </c>
      <c r="U20" s="54" t="str">
        <f>IF(S20="","",IFERROR(S20/VLOOKUP("USD",Setup!$A$38:$E$52,5,FALSE),""))</f>
        <v/>
      </c>
    </row>
    <row r="21" ht="24.0" customHeight="1">
      <c r="A21" s="78"/>
      <c r="B21" s="78"/>
      <c r="C21" s="78"/>
      <c r="D21" s="78"/>
      <c r="E21" s="78"/>
      <c r="F21" s="99"/>
      <c r="G21" s="104"/>
      <c r="H21" s="99"/>
      <c r="I21" s="78"/>
      <c r="J21" s="99"/>
      <c r="K21" s="99"/>
      <c r="L21" s="99"/>
      <c r="M21" s="99"/>
      <c r="N21" s="65"/>
      <c r="O21" s="66" t="str">
        <f t="shared" si="1"/>
        <v/>
      </c>
      <c r="P21" s="78"/>
      <c r="Q21" s="65"/>
      <c r="R21" s="78"/>
      <c r="S21" s="54" t="str">
        <f>IF(OR(G21="",H21=""),"",IFERROR(G21*VLOOKUP(H21,Setup!$A$38:$E$52,5,FALSE),""))</f>
        <v/>
      </c>
      <c r="T21" s="54" t="str">
        <f>IF(S21="","",IFERROR(S21/VLOOKUP("EUR",Setup!$A$38:$E$52,5,FALSE),""))</f>
        <v/>
      </c>
      <c r="U21" s="54" t="str">
        <f>IF(S21="","",IFERROR(S21/VLOOKUP("USD",Setup!$A$38:$E$52,5,FALSE),""))</f>
        <v/>
      </c>
    </row>
    <row r="22" ht="24.0" customHeight="1">
      <c r="A22" s="78"/>
      <c r="B22" s="78"/>
      <c r="C22" s="78"/>
      <c r="D22" s="78"/>
      <c r="E22" s="78"/>
      <c r="F22" s="99"/>
      <c r="G22" s="104"/>
      <c r="H22" s="99"/>
      <c r="I22" s="78"/>
      <c r="J22" s="99"/>
      <c r="K22" s="99"/>
      <c r="L22" s="99"/>
      <c r="M22" s="99"/>
      <c r="N22" s="65"/>
      <c r="O22" s="66" t="str">
        <f t="shared" si="1"/>
        <v/>
      </c>
      <c r="P22" s="78"/>
      <c r="Q22" s="65"/>
      <c r="R22" s="78"/>
      <c r="S22" s="54" t="str">
        <f>IF(OR(G22="",H22=""),"",IFERROR(G22*VLOOKUP(H22,Setup!$A$38:$E$52,5,FALSE),""))</f>
        <v/>
      </c>
      <c r="T22" s="54" t="str">
        <f>IF(S22="","",IFERROR(S22/VLOOKUP("EUR",Setup!$A$38:$E$52,5,FALSE),""))</f>
        <v/>
      </c>
      <c r="U22" s="54" t="str">
        <f>IF(S22="","",IFERROR(S22/VLOOKUP("USD",Setup!$A$38:$E$52,5,FALSE),""))</f>
        <v/>
      </c>
    </row>
    <row r="23" ht="24.0" customHeight="1">
      <c r="A23" s="78"/>
      <c r="B23" s="78"/>
      <c r="C23" s="78"/>
      <c r="D23" s="78"/>
      <c r="E23" s="78"/>
      <c r="F23" s="99"/>
      <c r="G23" s="104"/>
      <c r="H23" s="99"/>
      <c r="I23" s="78"/>
      <c r="J23" s="99"/>
      <c r="K23" s="99"/>
      <c r="L23" s="99"/>
      <c r="M23" s="99"/>
      <c r="N23" s="65"/>
      <c r="O23" s="66" t="str">
        <f t="shared" si="1"/>
        <v/>
      </c>
      <c r="P23" s="78"/>
      <c r="Q23" s="65"/>
      <c r="R23" s="78"/>
      <c r="S23" s="54" t="str">
        <f>IF(OR(G23="",H23=""),"",IFERROR(G23*VLOOKUP(H23,Setup!$A$38:$E$52,5,FALSE),""))</f>
        <v/>
      </c>
      <c r="T23" s="54" t="str">
        <f>IF(S23="","",IFERROR(S23/VLOOKUP("EUR",Setup!$A$38:$E$52,5,FALSE),""))</f>
        <v/>
      </c>
      <c r="U23" s="54" t="str">
        <f>IF(S23="","",IFERROR(S23/VLOOKUP("USD",Setup!$A$38:$E$52,5,FALSE),""))</f>
        <v/>
      </c>
    </row>
    <row r="24" ht="24.0" customHeight="1">
      <c r="A24" s="78"/>
      <c r="B24" s="78"/>
      <c r="C24" s="78"/>
      <c r="D24" s="78"/>
      <c r="E24" s="78"/>
      <c r="F24" s="99"/>
      <c r="G24" s="104"/>
      <c r="H24" s="99"/>
      <c r="I24" s="78"/>
      <c r="J24" s="99"/>
      <c r="K24" s="99"/>
      <c r="L24" s="99"/>
      <c r="M24" s="99"/>
      <c r="N24" s="65"/>
      <c r="O24" s="66" t="str">
        <f t="shared" si="1"/>
        <v/>
      </c>
      <c r="P24" s="78"/>
      <c r="Q24" s="65"/>
      <c r="R24" s="78"/>
      <c r="S24" s="54" t="str">
        <f>IF(OR(G24="",H24=""),"",IFERROR(G24*VLOOKUP(H24,Setup!$A$38:$E$52,5,FALSE),""))</f>
        <v/>
      </c>
      <c r="T24" s="54" t="str">
        <f>IF(S24="","",IFERROR(S24/VLOOKUP("EUR",Setup!$A$38:$E$52,5,FALSE),""))</f>
        <v/>
      </c>
      <c r="U24" s="54" t="str">
        <f>IF(S24="","",IFERROR(S24/VLOOKUP("USD",Setup!$A$38:$E$52,5,FALSE),""))</f>
        <v/>
      </c>
    </row>
    <row r="25" ht="24.0" customHeight="1">
      <c r="A25" s="78"/>
      <c r="B25" s="78"/>
      <c r="C25" s="78"/>
      <c r="D25" s="78"/>
      <c r="E25" s="78"/>
      <c r="F25" s="99"/>
      <c r="G25" s="104"/>
      <c r="H25" s="99"/>
      <c r="I25" s="78"/>
      <c r="J25" s="99"/>
      <c r="K25" s="99"/>
      <c r="L25" s="99"/>
      <c r="M25" s="99"/>
      <c r="N25" s="65"/>
      <c r="O25" s="66" t="str">
        <f t="shared" si="1"/>
        <v/>
      </c>
      <c r="P25" s="78"/>
      <c r="Q25" s="65"/>
      <c r="R25" s="78"/>
      <c r="S25" s="54" t="str">
        <f>IF(OR(G25="",H25=""),"",IFERROR(G25*VLOOKUP(H25,Setup!$A$38:$E$52,5,FALSE),""))</f>
        <v/>
      </c>
      <c r="T25" s="54" t="str">
        <f>IF(S25="","",IFERROR(S25/VLOOKUP("EUR",Setup!$A$38:$E$52,5,FALSE),""))</f>
        <v/>
      </c>
      <c r="U25" s="54" t="str">
        <f>IF(S25="","",IFERROR(S25/VLOOKUP("USD",Setup!$A$38:$E$52,5,FALSE),""))</f>
        <v/>
      </c>
    </row>
    <row r="26" ht="24.0" customHeight="1">
      <c r="A26" s="78"/>
      <c r="B26" s="78"/>
      <c r="C26" s="78"/>
      <c r="D26" s="78"/>
      <c r="E26" s="78"/>
      <c r="F26" s="99"/>
      <c r="G26" s="104"/>
      <c r="H26" s="99"/>
      <c r="I26" s="78"/>
      <c r="J26" s="99"/>
      <c r="K26" s="99"/>
      <c r="L26" s="99"/>
      <c r="M26" s="99"/>
      <c r="N26" s="65"/>
      <c r="O26" s="66" t="str">
        <f t="shared" si="1"/>
        <v/>
      </c>
      <c r="P26" s="78"/>
      <c r="Q26" s="65"/>
      <c r="R26" s="78"/>
      <c r="S26" s="54" t="str">
        <f>IF(OR(G26="",H26=""),"",IFERROR(G26*VLOOKUP(H26,Setup!$A$38:$E$52,5,FALSE),""))</f>
        <v/>
      </c>
      <c r="T26" s="54" t="str">
        <f>IF(S26="","",IFERROR(S26/VLOOKUP("EUR",Setup!$A$38:$E$52,5,FALSE),""))</f>
        <v/>
      </c>
      <c r="U26" s="54" t="str">
        <f>IF(S26="","",IFERROR(S26/VLOOKUP("USD",Setup!$A$38:$E$52,5,FALSE),""))</f>
        <v/>
      </c>
    </row>
    <row r="27" ht="24.0" customHeight="1">
      <c r="A27" s="78"/>
      <c r="B27" s="78"/>
      <c r="C27" s="78"/>
      <c r="D27" s="78"/>
      <c r="E27" s="78"/>
      <c r="F27" s="99"/>
      <c r="G27" s="104"/>
      <c r="H27" s="99"/>
      <c r="I27" s="78"/>
      <c r="J27" s="99"/>
      <c r="K27" s="99"/>
      <c r="L27" s="99"/>
      <c r="M27" s="99"/>
      <c r="N27" s="65"/>
      <c r="O27" s="66" t="str">
        <f t="shared" si="1"/>
        <v/>
      </c>
      <c r="P27" s="78"/>
      <c r="Q27" s="65"/>
      <c r="R27" s="78"/>
      <c r="S27" s="54" t="str">
        <f>IF(OR(G27="",H27=""),"",IFERROR(G27*VLOOKUP(H27,Setup!$A$38:$E$52,5,FALSE),""))</f>
        <v/>
      </c>
      <c r="T27" s="54" t="str">
        <f>IF(S27="","",IFERROR(S27/VLOOKUP("EUR",Setup!$A$38:$E$52,5,FALSE),""))</f>
        <v/>
      </c>
      <c r="U27" s="54" t="str">
        <f>IF(S27="","",IFERROR(S27/VLOOKUP("USD",Setup!$A$38:$E$52,5,FALSE),""))</f>
        <v/>
      </c>
    </row>
    <row r="28" ht="24.0" customHeight="1">
      <c r="A28" s="78"/>
      <c r="B28" s="78"/>
      <c r="C28" s="78"/>
      <c r="D28" s="78"/>
      <c r="E28" s="78"/>
      <c r="F28" s="99"/>
      <c r="G28" s="104"/>
      <c r="H28" s="99"/>
      <c r="I28" s="78"/>
      <c r="J28" s="99"/>
      <c r="K28" s="99"/>
      <c r="L28" s="99"/>
      <c r="M28" s="99"/>
      <c r="N28" s="65"/>
      <c r="O28" s="66" t="str">
        <f t="shared" si="1"/>
        <v/>
      </c>
      <c r="P28" s="78"/>
      <c r="Q28" s="65"/>
      <c r="R28" s="78"/>
      <c r="S28" s="54" t="str">
        <f>IF(OR(G28="",H28=""),"",IFERROR(G28*VLOOKUP(H28,Setup!$A$38:$E$52,5,FALSE),""))</f>
        <v/>
      </c>
      <c r="T28" s="54" t="str">
        <f>IF(S28="","",IFERROR(S28/VLOOKUP("EUR",Setup!$A$38:$E$52,5,FALSE),""))</f>
        <v/>
      </c>
      <c r="U28" s="54" t="str">
        <f>IF(S28="","",IFERROR(S28/VLOOKUP("USD",Setup!$A$38:$E$52,5,FALSE),""))</f>
        <v/>
      </c>
    </row>
    <row r="29" ht="24.0" customHeight="1">
      <c r="A29" s="78"/>
      <c r="B29" s="78"/>
      <c r="C29" s="78"/>
      <c r="D29" s="78"/>
      <c r="E29" s="78"/>
      <c r="F29" s="99"/>
      <c r="G29" s="104"/>
      <c r="H29" s="99"/>
      <c r="I29" s="78"/>
      <c r="J29" s="99"/>
      <c r="K29" s="99"/>
      <c r="L29" s="99"/>
      <c r="M29" s="99"/>
      <c r="N29" s="65"/>
      <c r="O29" s="66" t="str">
        <f t="shared" si="1"/>
        <v/>
      </c>
      <c r="P29" s="78"/>
      <c r="Q29" s="65"/>
      <c r="R29" s="78"/>
      <c r="S29" s="54" t="str">
        <f>IF(OR(G29="",H29=""),"",IFERROR(G29*VLOOKUP(H29,Setup!$A$38:$E$52,5,FALSE),""))</f>
        <v/>
      </c>
      <c r="T29" s="54" t="str">
        <f>IF(S29="","",IFERROR(S29/VLOOKUP("EUR",Setup!$A$38:$E$52,5,FALSE),""))</f>
        <v/>
      </c>
      <c r="U29" s="54" t="str">
        <f>IF(S29="","",IFERROR(S29/VLOOKUP("USD",Setup!$A$38:$E$52,5,FALSE),""))</f>
        <v/>
      </c>
    </row>
    <row r="30" ht="24.0" customHeight="1">
      <c r="A30" s="78"/>
      <c r="B30" s="78"/>
      <c r="C30" s="78"/>
      <c r="D30" s="78"/>
      <c r="E30" s="78"/>
      <c r="F30" s="99"/>
      <c r="G30" s="104"/>
      <c r="H30" s="99"/>
      <c r="I30" s="78"/>
      <c r="J30" s="99"/>
      <c r="K30" s="99"/>
      <c r="L30" s="99"/>
      <c r="M30" s="99"/>
      <c r="N30" s="65"/>
      <c r="O30" s="66" t="str">
        <f t="shared" si="1"/>
        <v/>
      </c>
      <c r="P30" s="78"/>
      <c r="Q30" s="65"/>
      <c r="R30" s="78"/>
      <c r="S30" s="54" t="str">
        <f>IF(OR(G30="",H30=""),"",IFERROR(G30*VLOOKUP(H30,Setup!$A$38:$E$52,5,FALSE),""))</f>
        <v/>
      </c>
      <c r="T30" s="54" t="str">
        <f>IF(S30="","",IFERROR(S30/VLOOKUP("EUR",Setup!$A$38:$E$52,5,FALSE),""))</f>
        <v/>
      </c>
      <c r="U30" s="54" t="str">
        <f>IF(S30="","",IFERROR(S30/VLOOKUP("USD",Setup!$A$38:$E$52,5,FALSE),""))</f>
        <v/>
      </c>
    </row>
    <row r="31" ht="24.0" customHeight="1">
      <c r="A31" s="78"/>
      <c r="B31" s="78"/>
      <c r="C31" s="78"/>
      <c r="D31" s="78"/>
      <c r="E31" s="78"/>
      <c r="F31" s="99"/>
      <c r="G31" s="104"/>
      <c r="H31" s="99"/>
      <c r="I31" s="78"/>
      <c r="J31" s="99"/>
      <c r="K31" s="99"/>
      <c r="L31" s="99"/>
      <c r="M31" s="99"/>
      <c r="N31" s="65"/>
      <c r="O31" s="66" t="str">
        <f t="shared" si="1"/>
        <v/>
      </c>
      <c r="P31" s="78"/>
      <c r="Q31" s="65"/>
      <c r="R31" s="78"/>
      <c r="S31" s="54" t="str">
        <f>IF(OR(G31="",H31=""),"",IFERROR(G31*VLOOKUP(H31,Setup!$A$38:$E$52,5,FALSE),""))</f>
        <v/>
      </c>
      <c r="T31" s="54" t="str">
        <f>IF(S31="","",IFERROR(S31/VLOOKUP("EUR",Setup!$A$38:$E$52,5,FALSE),""))</f>
        <v/>
      </c>
      <c r="U31" s="54" t="str">
        <f>IF(S31="","",IFERROR(S31/VLOOKUP("USD",Setup!$A$38:$E$52,5,FALSE),""))</f>
        <v/>
      </c>
    </row>
    <row r="32" ht="24.0" customHeight="1">
      <c r="A32" s="78"/>
      <c r="B32" s="78"/>
      <c r="C32" s="78"/>
      <c r="D32" s="78"/>
      <c r="E32" s="78"/>
      <c r="F32" s="99"/>
      <c r="G32" s="104"/>
      <c r="H32" s="99"/>
      <c r="I32" s="78"/>
      <c r="J32" s="99"/>
      <c r="K32" s="99"/>
      <c r="L32" s="99"/>
      <c r="M32" s="99"/>
      <c r="N32" s="65"/>
      <c r="O32" s="66" t="str">
        <f t="shared" si="1"/>
        <v/>
      </c>
      <c r="P32" s="78"/>
      <c r="Q32" s="65"/>
      <c r="R32" s="78"/>
      <c r="S32" s="54" t="str">
        <f>IF(OR(G32="",H32=""),"",IFERROR(G32*VLOOKUP(H32,Setup!$A$38:$E$52,5,FALSE),""))</f>
        <v/>
      </c>
      <c r="T32" s="54" t="str">
        <f>IF(S32="","",IFERROR(S32/VLOOKUP("EUR",Setup!$A$38:$E$52,5,FALSE),""))</f>
        <v/>
      </c>
      <c r="U32" s="54" t="str">
        <f>IF(S32="","",IFERROR(S32/VLOOKUP("USD",Setup!$A$38:$E$52,5,FALSE),""))</f>
        <v/>
      </c>
    </row>
    <row r="33" ht="24.0" customHeight="1">
      <c r="A33" s="78"/>
      <c r="B33" s="78"/>
      <c r="C33" s="78"/>
      <c r="D33" s="78"/>
      <c r="E33" s="78"/>
      <c r="F33" s="99"/>
      <c r="G33" s="104"/>
      <c r="H33" s="99"/>
      <c r="I33" s="78"/>
      <c r="J33" s="99"/>
      <c r="K33" s="99"/>
      <c r="L33" s="99"/>
      <c r="M33" s="99"/>
      <c r="N33" s="65"/>
      <c r="O33" s="66" t="str">
        <f t="shared" si="1"/>
        <v/>
      </c>
      <c r="P33" s="78"/>
      <c r="Q33" s="65"/>
      <c r="R33" s="78"/>
      <c r="S33" s="54" t="str">
        <f>IF(OR(G33="",H33=""),"",IFERROR(G33*VLOOKUP(H33,Setup!$A$38:$E$52,5,FALSE),""))</f>
        <v/>
      </c>
      <c r="T33" s="54" t="str">
        <f>IF(S33="","",IFERROR(S33/VLOOKUP("EUR",Setup!$A$38:$E$52,5,FALSE),""))</f>
        <v/>
      </c>
      <c r="U33" s="54" t="str">
        <f>IF(S33="","",IFERROR(S33/VLOOKUP("USD",Setup!$A$38:$E$52,5,FALSE),""))</f>
        <v/>
      </c>
    </row>
    <row r="34" ht="24.0" customHeight="1">
      <c r="A34" s="78"/>
      <c r="B34" s="78"/>
      <c r="C34" s="78"/>
      <c r="D34" s="78"/>
      <c r="E34" s="78"/>
      <c r="F34" s="99"/>
      <c r="G34" s="104"/>
      <c r="H34" s="99"/>
      <c r="I34" s="78"/>
      <c r="J34" s="99"/>
      <c r="K34" s="99"/>
      <c r="L34" s="99"/>
      <c r="M34" s="99"/>
      <c r="N34" s="65"/>
      <c r="O34" s="66" t="str">
        <f t="shared" si="1"/>
        <v/>
      </c>
      <c r="P34" s="78"/>
      <c r="Q34" s="65"/>
      <c r="R34" s="78"/>
      <c r="S34" s="54" t="str">
        <f>IF(OR(G34="",H34=""),"",IFERROR(G34*VLOOKUP(H34,Setup!$A$38:$E$52,5,FALSE),""))</f>
        <v/>
      </c>
      <c r="T34" s="54" t="str">
        <f>IF(S34="","",IFERROR(S34/VLOOKUP("EUR",Setup!$A$38:$E$52,5,FALSE),""))</f>
        <v/>
      </c>
      <c r="U34" s="54" t="str">
        <f>IF(S34="","",IFERROR(S34/VLOOKUP("USD",Setup!$A$38:$E$52,5,FALSE),""))</f>
        <v/>
      </c>
    </row>
    <row r="35" ht="24.0" customHeight="1">
      <c r="A35" s="78"/>
      <c r="B35" s="78"/>
      <c r="C35" s="78"/>
      <c r="D35" s="78"/>
      <c r="E35" s="78"/>
      <c r="F35" s="99"/>
      <c r="G35" s="104"/>
      <c r="H35" s="99"/>
      <c r="I35" s="78"/>
      <c r="J35" s="99"/>
      <c r="K35" s="99"/>
      <c r="L35" s="99"/>
      <c r="M35" s="99"/>
      <c r="N35" s="65"/>
      <c r="O35" s="66" t="str">
        <f t="shared" si="1"/>
        <v/>
      </c>
      <c r="P35" s="78"/>
      <c r="Q35" s="65"/>
      <c r="R35" s="78"/>
      <c r="S35" s="54" t="str">
        <f>IF(OR(G35="",H35=""),"",IFERROR(G35*VLOOKUP(H35,Setup!$A$38:$E$52,5,FALSE),""))</f>
        <v/>
      </c>
      <c r="T35" s="54" t="str">
        <f>IF(S35="","",IFERROR(S35/VLOOKUP("EUR",Setup!$A$38:$E$52,5,FALSE),""))</f>
        <v/>
      </c>
      <c r="U35" s="54" t="str">
        <f>IF(S35="","",IFERROR(S35/VLOOKUP("USD",Setup!$A$38:$E$52,5,FALSE),""))</f>
        <v/>
      </c>
    </row>
    <row r="36" ht="24.0" customHeight="1">
      <c r="A36" s="78"/>
      <c r="B36" s="78"/>
      <c r="C36" s="78"/>
      <c r="D36" s="78"/>
      <c r="E36" s="78"/>
      <c r="F36" s="99"/>
      <c r="G36" s="104"/>
      <c r="H36" s="99"/>
      <c r="I36" s="78"/>
      <c r="J36" s="99"/>
      <c r="K36" s="99"/>
      <c r="L36" s="99"/>
      <c r="M36" s="99"/>
      <c r="N36" s="65"/>
      <c r="O36" s="66" t="str">
        <f t="shared" si="1"/>
        <v/>
      </c>
      <c r="P36" s="78"/>
      <c r="Q36" s="65"/>
      <c r="R36" s="78"/>
      <c r="S36" s="54" t="str">
        <f>IF(OR(G36="",H36=""),"",IFERROR(G36*VLOOKUP(H36,Setup!$A$38:$E$52,5,FALSE),""))</f>
        <v/>
      </c>
      <c r="T36" s="54" t="str">
        <f>IF(S36="","",IFERROR(S36/VLOOKUP("EUR",Setup!$A$38:$E$52,5,FALSE),""))</f>
        <v/>
      </c>
      <c r="U36" s="54" t="str">
        <f>IF(S36="","",IFERROR(S36/VLOOKUP("USD",Setup!$A$38:$E$52,5,FALSE),""))</f>
        <v/>
      </c>
    </row>
    <row r="37" ht="24.0" customHeight="1">
      <c r="A37" s="78"/>
      <c r="B37" s="78"/>
      <c r="C37" s="78"/>
      <c r="D37" s="78"/>
      <c r="E37" s="78"/>
      <c r="F37" s="99"/>
      <c r="G37" s="104"/>
      <c r="H37" s="99"/>
      <c r="I37" s="78"/>
      <c r="J37" s="99"/>
      <c r="K37" s="99"/>
      <c r="L37" s="99"/>
      <c r="M37" s="99"/>
      <c r="N37" s="65"/>
      <c r="O37" s="66" t="str">
        <f t="shared" si="1"/>
        <v/>
      </c>
      <c r="P37" s="78"/>
      <c r="Q37" s="65"/>
      <c r="R37" s="78"/>
      <c r="S37" s="54" t="str">
        <f>IF(OR(G37="",H37=""),"",IFERROR(G37*VLOOKUP(H37,Setup!$A$38:$E$52,5,FALSE),""))</f>
        <v/>
      </c>
      <c r="T37" s="54" t="str">
        <f>IF(S37="","",IFERROR(S37/VLOOKUP("EUR",Setup!$A$38:$E$52,5,FALSE),""))</f>
        <v/>
      </c>
      <c r="U37" s="54" t="str">
        <f>IF(S37="","",IFERROR(S37/VLOOKUP("USD",Setup!$A$38:$E$52,5,FALSE),""))</f>
        <v/>
      </c>
    </row>
    <row r="38" ht="24.0" customHeight="1">
      <c r="A38" s="78"/>
      <c r="B38" s="78"/>
      <c r="C38" s="78"/>
      <c r="D38" s="78"/>
      <c r="E38" s="78"/>
      <c r="F38" s="99"/>
      <c r="G38" s="104"/>
      <c r="H38" s="99"/>
      <c r="I38" s="78"/>
      <c r="J38" s="99"/>
      <c r="K38" s="99"/>
      <c r="L38" s="99"/>
      <c r="M38" s="99"/>
      <c r="N38" s="65"/>
      <c r="O38" s="66" t="str">
        <f t="shared" si="1"/>
        <v/>
      </c>
      <c r="P38" s="78"/>
      <c r="Q38" s="65"/>
      <c r="R38" s="78"/>
      <c r="S38" s="54" t="str">
        <f>IF(OR(G38="",H38=""),"",IFERROR(G38*VLOOKUP(H38,Setup!$A$38:$E$52,5,FALSE),""))</f>
        <v/>
      </c>
      <c r="T38" s="54" t="str">
        <f>IF(S38="","",IFERROR(S38/VLOOKUP("EUR",Setup!$A$38:$E$52,5,FALSE),""))</f>
        <v/>
      </c>
      <c r="U38" s="54" t="str">
        <f>IF(S38="","",IFERROR(S38/VLOOKUP("USD",Setup!$A$38:$E$52,5,FALSE),""))</f>
        <v/>
      </c>
    </row>
    <row r="39" ht="24.0" customHeight="1">
      <c r="A39" s="78"/>
      <c r="B39" s="78"/>
      <c r="C39" s="78"/>
      <c r="D39" s="78"/>
      <c r="E39" s="78"/>
      <c r="F39" s="99"/>
      <c r="G39" s="104"/>
      <c r="H39" s="99"/>
      <c r="I39" s="78"/>
      <c r="J39" s="99"/>
      <c r="K39" s="99"/>
      <c r="L39" s="99"/>
      <c r="M39" s="99"/>
      <c r="N39" s="65"/>
      <c r="O39" s="66" t="str">
        <f t="shared" si="1"/>
        <v/>
      </c>
      <c r="P39" s="78"/>
      <c r="Q39" s="65"/>
      <c r="R39" s="78"/>
      <c r="S39" s="54" t="str">
        <f>IF(OR(G39="",H39=""),"",IFERROR(G39*VLOOKUP(H39,Setup!$A$38:$E$52,5,FALSE),""))</f>
        <v/>
      </c>
      <c r="T39" s="54" t="str">
        <f>IF(S39="","",IFERROR(S39/VLOOKUP("EUR",Setup!$A$38:$E$52,5,FALSE),""))</f>
        <v/>
      </c>
      <c r="U39" s="54" t="str">
        <f>IF(S39="","",IFERROR(S39/VLOOKUP("USD",Setup!$A$38:$E$52,5,FALSE),""))</f>
        <v/>
      </c>
    </row>
    <row r="40" ht="24.0" customHeight="1">
      <c r="A40" s="78"/>
      <c r="B40" s="78"/>
      <c r="C40" s="78"/>
      <c r="D40" s="78"/>
      <c r="E40" s="78"/>
      <c r="F40" s="99"/>
      <c r="G40" s="104"/>
      <c r="H40" s="99"/>
      <c r="I40" s="78"/>
      <c r="J40" s="99"/>
      <c r="K40" s="99"/>
      <c r="L40" s="99"/>
      <c r="M40" s="99"/>
      <c r="N40" s="65"/>
      <c r="O40" s="66" t="str">
        <f t="shared" si="1"/>
        <v/>
      </c>
      <c r="P40" s="78"/>
      <c r="Q40" s="65"/>
      <c r="R40" s="78"/>
      <c r="S40" s="54" t="str">
        <f>IF(OR(G40="",H40=""),"",IFERROR(G40*VLOOKUP(H40,Setup!$A$38:$E$52,5,FALSE),""))</f>
        <v/>
      </c>
      <c r="T40" s="54" t="str">
        <f>IF(S40="","",IFERROR(S40/VLOOKUP("EUR",Setup!$A$38:$E$52,5,FALSE),""))</f>
        <v/>
      </c>
      <c r="U40" s="54" t="str">
        <f>IF(S40="","",IFERROR(S40/VLOOKUP("USD",Setup!$A$38:$E$52,5,FALSE),""))</f>
        <v/>
      </c>
    </row>
    <row r="41" ht="24.0" customHeight="1">
      <c r="A41" s="78"/>
      <c r="B41" s="78"/>
      <c r="C41" s="78"/>
      <c r="D41" s="78"/>
      <c r="E41" s="78"/>
      <c r="F41" s="99"/>
      <c r="G41" s="104"/>
      <c r="H41" s="99"/>
      <c r="I41" s="78"/>
      <c r="J41" s="99"/>
      <c r="K41" s="99"/>
      <c r="L41" s="99"/>
      <c r="M41" s="99"/>
      <c r="N41" s="65"/>
      <c r="O41" s="66" t="str">
        <f t="shared" si="1"/>
        <v/>
      </c>
      <c r="P41" s="78"/>
      <c r="Q41" s="65"/>
      <c r="R41" s="78"/>
      <c r="S41" s="54" t="str">
        <f>IF(OR(G41="",H41=""),"",IFERROR(G41*VLOOKUP(H41,Setup!$A$38:$E$52,5,FALSE),""))</f>
        <v/>
      </c>
      <c r="T41" s="54" t="str">
        <f>IF(S41="","",IFERROR(S41/VLOOKUP("EUR",Setup!$A$38:$E$52,5,FALSE),""))</f>
        <v/>
      </c>
      <c r="U41" s="54" t="str">
        <f>IF(S41="","",IFERROR(S41/VLOOKUP("USD",Setup!$A$38:$E$52,5,FALSE),""))</f>
        <v/>
      </c>
    </row>
    <row r="42" ht="24.0" customHeight="1">
      <c r="A42" s="78"/>
      <c r="B42" s="78"/>
      <c r="C42" s="78"/>
      <c r="D42" s="78"/>
      <c r="E42" s="78"/>
      <c r="F42" s="99"/>
      <c r="G42" s="104"/>
      <c r="H42" s="99"/>
      <c r="I42" s="78"/>
      <c r="J42" s="99"/>
      <c r="K42" s="99"/>
      <c r="L42" s="99"/>
      <c r="M42" s="99"/>
      <c r="N42" s="65"/>
      <c r="O42" s="66" t="str">
        <f t="shared" si="1"/>
        <v/>
      </c>
      <c r="P42" s="78"/>
      <c r="Q42" s="65"/>
      <c r="R42" s="78"/>
      <c r="S42" s="54" t="str">
        <f>IF(OR(G42="",H42=""),"",IFERROR(G42*VLOOKUP(H42,Setup!$A$38:$E$52,5,FALSE),""))</f>
        <v/>
      </c>
      <c r="T42" s="54" t="str">
        <f>IF(S42="","",IFERROR(S42/VLOOKUP("EUR",Setup!$A$38:$E$52,5,FALSE),""))</f>
        <v/>
      </c>
      <c r="U42" s="54" t="str">
        <f>IF(S42="","",IFERROR(S42/VLOOKUP("USD",Setup!$A$38:$E$52,5,FALSE),""))</f>
        <v/>
      </c>
    </row>
    <row r="43" ht="24.0" customHeight="1">
      <c r="A43" s="78"/>
      <c r="B43" s="78"/>
      <c r="C43" s="78"/>
      <c r="D43" s="78"/>
      <c r="E43" s="78"/>
      <c r="F43" s="99"/>
      <c r="G43" s="104"/>
      <c r="H43" s="99"/>
      <c r="I43" s="78"/>
      <c r="J43" s="99"/>
      <c r="K43" s="99"/>
      <c r="L43" s="99"/>
      <c r="M43" s="99"/>
      <c r="N43" s="65"/>
      <c r="O43" s="66" t="str">
        <f t="shared" si="1"/>
        <v/>
      </c>
      <c r="P43" s="78"/>
      <c r="Q43" s="65"/>
      <c r="R43" s="78"/>
      <c r="S43" s="54" t="str">
        <f>IF(OR(G43="",H43=""),"",IFERROR(G43*VLOOKUP(H43,Setup!$A$38:$E$52,5,FALSE),""))</f>
        <v/>
      </c>
      <c r="T43" s="54" t="str">
        <f>IF(S43="","",IFERROR(S43/VLOOKUP("EUR",Setup!$A$38:$E$52,5,FALSE),""))</f>
        <v/>
      </c>
      <c r="U43" s="54" t="str">
        <f>IF(S43="","",IFERROR(S43/VLOOKUP("USD",Setup!$A$38:$E$52,5,FALSE),""))</f>
        <v/>
      </c>
    </row>
    <row r="44" ht="24.0" customHeight="1">
      <c r="A44" s="78"/>
      <c r="B44" s="78"/>
      <c r="C44" s="78"/>
      <c r="D44" s="78"/>
      <c r="E44" s="78"/>
      <c r="F44" s="99"/>
      <c r="G44" s="104"/>
      <c r="H44" s="99"/>
      <c r="I44" s="78"/>
      <c r="J44" s="99"/>
      <c r="K44" s="99"/>
      <c r="L44" s="99"/>
      <c r="M44" s="99"/>
      <c r="N44" s="65"/>
      <c r="O44" s="66" t="str">
        <f t="shared" si="1"/>
        <v/>
      </c>
      <c r="P44" s="78"/>
      <c r="Q44" s="65"/>
      <c r="R44" s="78"/>
      <c r="S44" s="54" t="str">
        <f>IF(OR(G44="",H44=""),"",IFERROR(G44*VLOOKUP(H44,Setup!$A$38:$E$52,5,FALSE),""))</f>
        <v/>
      </c>
      <c r="T44" s="54" t="str">
        <f>IF(S44="","",IFERROR(S44/VLOOKUP("EUR",Setup!$A$38:$E$52,5,FALSE),""))</f>
        <v/>
      </c>
      <c r="U44" s="54" t="str">
        <f>IF(S44="","",IFERROR(S44/VLOOKUP("USD",Setup!$A$38:$E$52,5,FALSE),""))</f>
        <v/>
      </c>
    </row>
    <row r="45" ht="24.0" customHeight="1">
      <c r="A45" s="78"/>
      <c r="B45" s="78"/>
      <c r="C45" s="78"/>
      <c r="D45" s="78"/>
      <c r="E45" s="78"/>
      <c r="F45" s="99"/>
      <c r="G45" s="104"/>
      <c r="H45" s="99"/>
      <c r="I45" s="78"/>
      <c r="J45" s="99"/>
      <c r="K45" s="99"/>
      <c r="L45" s="99"/>
      <c r="M45" s="99"/>
      <c r="N45" s="65"/>
      <c r="O45" s="66" t="str">
        <f t="shared" si="1"/>
        <v/>
      </c>
      <c r="P45" s="78"/>
      <c r="Q45" s="65"/>
      <c r="R45" s="78"/>
      <c r="S45" s="54" t="str">
        <f>IF(OR(G45="",H45=""),"",IFERROR(G45*VLOOKUP(H45,Setup!$A$38:$E$52,5,FALSE),""))</f>
        <v/>
      </c>
      <c r="T45" s="54" t="str">
        <f>IF(S45="","",IFERROR(S45/VLOOKUP("EUR",Setup!$A$38:$E$52,5,FALSE),""))</f>
        <v/>
      </c>
      <c r="U45" s="54" t="str">
        <f>IF(S45="","",IFERROR(S45/VLOOKUP("USD",Setup!$A$38:$E$52,5,FALSE),""))</f>
        <v/>
      </c>
    </row>
    <row r="46" ht="24.0" customHeight="1">
      <c r="A46" s="78"/>
      <c r="B46" s="78"/>
      <c r="C46" s="78"/>
      <c r="D46" s="78"/>
      <c r="E46" s="78"/>
      <c r="F46" s="99"/>
      <c r="G46" s="104"/>
      <c r="H46" s="99"/>
      <c r="I46" s="78"/>
      <c r="J46" s="99"/>
      <c r="K46" s="99"/>
      <c r="L46" s="99"/>
      <c r="M46" s="99"/>
      <c r="N46" s="65"/>
      <c r="O46" s="66" t="str">
        <f t="shared" si="1"/>
        <v/>
      </c>
      <c r="P46" s="78"/>
      <c r="Q46" s="65"/>
      <c r="R46" s="78"/>
      <c r="S46" s="54" t="str">
        <f>IF(OR(G46="",H46=""),"",IFERROR(G46*VLOOKUP(H46,Setup!$A$38:$E$52,5,FALSE),""))</f>
        <v/>
      </c>
      <c r="T46" s="54" t="str">
        <f>IF(S46="","",IFERROR(S46/VLOOKUP("EUR",Setup!$A$38:$E$52,5,FALSE),""))</f>
        <v/>
      </c>
      <c r="U46" s="54" t="str">
        <f>IF(S46="","",IFERROR(S46/VLOOKUP("USD",Setup!$A$38:$E$52,5,FALSE),""))</f>
        <v/>
      </c>
    </row>
    <row r="47" ht="24.0" customHeight="1">
      <c r="A47" s="78"/>
      <c r="B47" s="78"/>
      <c r="C47" s="78"/>
      <c r="D47" s="78"/>
      <c r="E47" s="78"/>
      <c r="F47" s="99"/>
      <c r="G47" s="104"/>
      <c r="H47" s="99"/>
      <c r="I47" s="78"/>
      <c r="J47" s="99"/>
      <c r="K47" s="99"/>
      <c r="L47" s="99"/>
      <c r="M47" s="99"/>
      <c r="N47" s="65"/>
      <c r="O47" s="66" t="str">
        <f t="shared" si="1"/>
        <v/>
      </c>
      <c r="P47" s="78"/>
      <c r="Q47" s="65"/>
      <c r="R47" s="78"/>
      <c r="S47" s="54" t="str">
        <f>IF(OR(G47="",H47=""),"",IFERROR(G47*VLOOKUP(H47,Setup!$A$38:$E$52,5,FALSE),""))</f>
        <v/>
      </c>
      <c r="T47" s="54" t="str">
        <f>IF(S47="","",IFERROR(S47/VLOOKUP("EUR",Setup!$A$38:$E$52,5,FALSE),""))</f>
        <v/>
      </c>
      <c r="U47" s="54" t="str">
        <f>IF(S47="","",IFERROR(S47/VLOOKUP("USD",Setup!$A$38:$E$52,5,FALSE),""))</f>
        <v/>
      </c>
    </row>
    <row r="48" ht="24.0" customHeight="1">
      <c r="A48" s="78"/>
      <c r="B48" s="78"/>
      <c r="C48" s="78"/>
      <c r="D48" s="78"/>
      <c r="E48" s="78"/>
      <c r="F48" s="99"/>
      <c r="G48" s="104"/>
      <c r="H48" s="99"/>
      <c r="I48" s="78"/>
      <c r="J48" s="99"/>
      <c r="K48" s="99"/>
      <c r="L48" s="99"/>
      <c r="M48" s="99"/>
      <c r="N48" s="65"/>
      <c r="O48" s="66" t="str">
        <f t="shared" si="1"/>
        <v/>
      </c>
      <c r="P48" s="78"/>
      <c r="Q48" s="65"/>
      <c r="R48" s="78"/>
      <c r="S48" s="54" t="str">
        <f>IF(OR(G48="",H48=""),"",IFERROR(G48*VLOOKUP(H48,Setup!$A$38:$E$52,5,FALSE),""))</f>
        <v/>
      </c>
      <c r="T48" s="54" t="str">
        <f>IF(S48="","",IFERROR(S48/VLOOKUP("EUR",Setup!$A$38:$E$52,5,FALSE),""))</f>
        <v/>
      </c>
      <c r="U48" s="54" t="str">
        <f>IF(S48="","",IFERROR(S48/VLOOKUP("USD",Setup!$A$38:$E$52,5,FALSE),""))</f>
        <v/>
      </c>
    </row>
    <row r="49" ht="24.0" customHeight="1">
      <c r="A49" s="78"/>
      <c r="B49" s="78"/>
      <c r="C49" s="78"/>
      <c r="D49" s="78"/>
      <c r="E49" s="78"/>
      <c r="F49" s="99"/>
      <c r="G49" s="104"/>
      <c r="H49" s="99"/>
      <c r="I49" s="78"/>
      <c r="J49" s="99"/>
      <c r="K49" s="99"/>
      <c r="L49" s="99"/>
      <c r="M49" s="99"/>
      <c r="N49" s="65"/>
      <c r="O49" s="66" t="str">
        <f t="shared" si="1"/>
        <v/>
      </c>
      <c r="P49" s="78"/>
      <c r="Q49" s="65"/>
      <c r="R49" s="78"/>
      <c r="S49" s="54" t="str">
        <f>IF(OR(G49="",H49=""),"",IFERROR(G49*VLOOKUP(H49,Setup!$A$38:$E$52,5,FALSE),""))</f>
        <v/>
      </c>
      <c r="T49" s="54" t="str">
        <f>IF(S49="","",IFERROR(S49/VLOOKUP("EUR",Setup!$A$38:$E$52,5,FALSE),""))</f>
        <v/>
      </c>
      <c r="U49" s="54" t="str">
        <f>IF(S49="","",IFERROR(S49/VLOOKUP("USD",Setup!$A$38:$E$52,5,FALSE),""))</f>
        <v/>
      </c>
    </row>
    <row r="50" ht="24.0" customHeight="1">
      <c r="A50" s="78"/>
      <c r="B50" s="78"/>
      <c r="C50" s="78"/>
      <c r="D50" s="78"/>
      <c r="E50" s="78"/>
      <c r="F50" s="99"/>
      <c r="G50" s="104"/>
      <c r="H50" s="99"/>
      <c r="I50" s="78"/>
      <c r="J50" s="99"/>
      <c r="K50" s="99"/>
      <c r="L50" s="99"/>
      <c r="M50" s="99"/>
      <c r="N50" s="65"/>
      <c r="O50" s="66" t="str">
        <f t="shared" si="1"/>
        <v/>
      </c>
      <c r="P50" s="78"/>
      <c r="Q50" s="65"/>
      <c r="R50" s="78"/>
      <c r="S50" s="54" t="str">
        <f>IF(OR(G50="",H50=""),"",IFERROR(G50*VLOOKUP(H50,Setup!$A$38:$E$52,5,FALSE),""))</f>
        <v/>
      </c>
      <c r="T50" s="54" t="str">
        <f>IF(S50="","",IFERROR(S50/VLOOKUP("EUR",Setup!$A$38:$E$52,5,FALSE),""))</f>
        <v/>
      </c>
      <c r="U50" s="54" t="str">
        <f>IF(S50="","",IFERROR(S50/VLOOKUP("USD",Setup!$A$38:$E$52,5,FALSE),""))</f>
        <v/>
      </c>
    </row>
    <row r="51" ht="24.0" customHeight="1">
      <c r="A51" s="78"/>
      <c r="B51" s="78"/>
      <c r="C51" s="78"/>
      <c r="D51" s="78"/>
      <c r="E51" s="78"/>
      <c r="F51" s="99"/>
      <c r="G51" s="104"/>
      <c r="H51" s="99"/>
      <c r="I51" s="78"/>
      <c r="J51" s="99"/>
      <c r="K51" s="99"/>
      <c r="L51" s="99"/>
      <c r="M51" s="99"/>
      <c r="N51" s="65"/>
      <c r="O51" s="66" t="str">
        <f t="shared" si="1"/>
        <v/>
      </c>
      <c r="P51" s="78"/>
      <c r="Q51" s="65"/>
      <c r="R51" s="78"/>
      <c r="S51" s="54" t="str">
        <f>IF(OR(G51="",H51=""),"",IFERROR(G51*VLOOKUP(H51,Setup!$A$38:$E$52,5,FALSE),""))</f>
        <v/>
      </c>
      <c r="T51" s="54" t="str">
        <f>IF(S51="","",IFERROR(S51/VLOOKUP("EUR",Setup!$A$38:$E$52,5,FALSE),""))</f>
        <v/>
      </c>
      <c r="U51" s="54" t="str">
        <f>IF(S51="","",IFERROR(S51/VLOOKUP("USD",Setup!$A$38:$E$52,5,FALSE),""))</f>
        <v/>
      </c>
    </row>
    <row r="52" ht="24.0" customHeight="1">
      <c r="A52" s="78"/>
      <c r="B52" s="78"/>
      <c r="C52" s="78"/>
      <c r="D52" s="78"/>
      <c r="E52" s="78"/>
      <c r="F52" s="99"/>
      <c r="G52" s="104"/>
      <c r="H52" s="99"/>
      <c r="I52" s="78"/>
      <c r="J52" s="99"/>
      <c r="K52" s="99"/>
      <c r="L52" s="99"/>
      <c r="M52" s="99"/>
      <c r="N52" s="65"/>
      <c r="O52" s="66" t="str">
        <f t="shared" si="1"/>
        <v/>
      </c>
      <c r="P52" s="78"/>
      <c r="Q52" s="65"/>
      <c r="R52" s="78"/>
      <c r="S52" s="54" t="str">
        <f>IF(OR(G52="",H52=""),"",IFERROR(G52*VLOOKUP(H52,Setup!$A$38:$E$52,5,FALSE),""))</f>
        <v/>
      </c>
      <c r="T52" s="54" t="str">
        <f>IF(S52="","",IFERROR(S52/VLOOKUP("EUR",Setup!$A$38:$E$52,5,FALSE),""))</f>
        <v/>
      </c>
      <c r="U52" s="54" t="str">
        <f>IF(S52="","",IFERROR(S52/VLOOKUP("USD",Setup!$A$38:$E$52,5,FALSE),""))</f>
        <v/>
      </c>
    </row>
    <row r="53" ht="24.0" customHeight="1">
      <c r="A53" s="78"/>
      <c r="B53" s="78"/>
      <c r="C53" s="78"/>
      <c r="D53" s="78"/>
      <c r="E53" s="78"/>
      <c r="F53" s="99"/>
      <c r="G53" s="104"/>
      <c r="H53" s="99"/>
      <c r="I53" s="78"/>
      <c r="J53" s="99"/>
      <c r="K53" s="99"/>
      <c r="L53" s="99"/>
      <c r="M53" s="99"/>
      <c r="N53" s="65"/>
      <c r="O53" s="66" t="str">
        <f t="shared" si="1"/>
        <v/>
      </c>
      <c r="P53" s="78"/>
      <c r="Q53" s="65"/>
      <c r="R53" s="78"/>
      <c r="S53" s="54" t="str">
        <f>IF(OR(G53="",H53=""),"",IFERROR(G53*VLOOKUP(H53,Setup!$A$38:$E$52,5,FALSE),""))</f>
        <v/>
      </c>
      <c r="T53" s="54" t="str">
        <f>IF(S53="","",IFERROR(S53/VLOOKUP("EUR",Setup!$A$38:$E$52,5,FALSE),""))</f>
        <v/>
      </c>
      <c r="U53" s="54" t="str">
        <f>IF(S53="","",IFERROR(S53/VLOOKUP("USD",Setup!$A$38:$E$52,5,FALSE),""))</f>
        <v/>
      </c>
    </row>
    <row r="54" ht="24.0" customHeight="1">
      <c r="A54" s="78"/>
      <c r="B54" s="78"/>
      <c r="C54" s="78"/>
      <c r="D54" s="78"/>
      <c r="E54" s="78"/>
      <c r="F54" s="99"/>
      <c r="G54" s="104"/>
      <c r="H54" s="99"/>
      <c r="I54" s="78"/>
      <c r="J54" s="99"/>
      <c r="K54" s="99"/>
      <c r="L54" s="99"/>
      <c r="M54" s="99"/>
      <c r="N54" s="65"/>
      <c r="O54" s="66" t="str">
        <f t="shared" si="1"/>
        <v/>
      </c>
      <c r="P54" s="78"/>
      <c r="Q54" s="65"/>
      <c r="R54" s="78"/>
      <c r="S54" s="54" t="str">
        <f>IF(OR(G54="",H54=""),"",IFERROR(G54*VLOOKUP(H54,Setup!$A$38:$E$52,5,FALSE),""))</f>
        <v/>
      </c>
      <c r="T54" s="54" t="str">
        <f>IF(S54="","",IFERROR(S54/VLOOKUP("EUR",Setup!$A$38:$E$52,5,FALSE),""))</f>
        <v/>
      </c>
      <c r="U54" s="54" t="str">
        <f>IF(S54="","",IFERROR(S54/VLOOKUP("USD",Setup!$A$38:$E$52,5,FALSE),""))</f>
        <v/>
      </c>
    </row>
    <row r="55" ht="24.0" customHeight="1">
      <c r="A55" s="78"/>
      <c r="B55" s="78"/>
      <c r="C55" s="78"/>
      <c r="D55" s="78"/>
      <c r="E55" s="78"/>
      <c r="F55" s="99"/>
      <c r="G55" s="104"/>
      <c r="H55" s="99"/>
      <c r="I55" s="78"/>
      <c r="J55" s="99"/>
      <c r="K55" s="99"/>
      <c r="L55" s="99"/>
      <c r="M55" s="99"/>
      <c r="N55" s="65"/>
      <c r="O55" s="66" t="str">
        <f t="shared" si="1"/>
        <v/>
      </c>
      <c r="P55" s="78"/>
      <c r="Q55" s="65"/>
      <c r="R55" s="78"/>
      <c r="S55" s="54" t="str">
        <f>IF(OR(G55="",H55=""),"",IFERROR(G55*VLOOKUP(H55,Setup!$A$38:$E$52,5,FALSE),""))</f>
        <v/>
      </c>
      <c r="T55" s="54" t="str">
        <f>IF(S55="","",IFERROR(S55/VLOOKUP("EUR",Setup!$A$38:$E$52,5,FALSE),""))</f>
        <v/>
      </c>
      <c r="U55" s="54" t="str">
        <f>IF(S55="","",IFERROR(S55/VLOOKUP("USD",Setup!$A$38:$E$52,5,FALSE),""))</f>
        <v/>
      </c>
    </row>
    <row r="56" ht="24.0" customHeight="1">
      <c r="A56" s="78"/>
      <c r="B56" s="78"/>
      <c r="C56" s="78"/>
      <c r="D56" s="78"/>
      <c r="E56" s="78"/>
      <c r="F56" s="99"/>
      <c r="G56" s="104"/>
      <c r="H56" s="99"/>
      <c r="I56" s="78"/>
      <c r="J56" s="99"/>
      <c r="K56" s="99"/>
      <c r="L56" s="99"/>
      <c r="M56" s="99"/>
      <c r="N56" s="65"/>
      <c r="O56" s="66" t="str">
        <f t="shared" si="1"/>
        <v/>
      </c>
      <c r="P56" s="78"/>
      <c r="Q56" s="65"/>
      <c r="R56" s="78"/>
      <c r="S56" s="54" t="str">
        <f>IF(OR(G56="",H56=""),"",IFERROR(G56*VLOOKUP(H56,Setup!$A$38:$E$52,5,FALSE),""))</f>
        <v/>
      </c>
      <c r="T56" s="54" t="str">
        <f>IF(S56="","",IFERROR(S56/VLOOKUP("EUR",Setup!$A$38:$E$52,5,FALSE),""))</f>
        <v/>
      </c>
      <c r="U56" s="54" t="str">
        <f>IF(S56="","",IFERROR(S56/VLOOKUP("USD",Setup!$A$38:$E$52,5,FALSE),""))</f>
        <v/>
      </c>
    </row>
    <row r="57" ht="24.0" customHeight="1">
      <c r="A57" s="78"/>
      <c r="B57" s="78"/>
      <c r="C57" s="78"/>
      <c r="D57" s="78"/>
      <c r="E57" s="78"/>
      <c r="F57" s="99"/>
      <c r="G57" s="104"/>
      <c r="H57" s="99"/>
      <c r="I57" s="78"/>
      <c r="J57" s="99"/>
      <c r="K57" s="99"/>
      <c r="L57" s="99"/>
      <c r="M57" s="99"/>
      <c r="N57" s="65"/>
      <c r="O57" s="66" t="str">
        <f t="shared" si="1"/>
        <v/>
      </c>
      <c r="P57" s="78"/>
      <c r="Q57" s="65"/>
      <c r="R57" s="78"/>
      <c r="S57" s="54" t="str">
        <f>IF(OR(G57="",H57=""),"",IFERROR(G57*VLOOKUP(H57,Setup!$A$38:$E$52,5,FALSE),""))</f>
        <v/>
      </c>
      <c r="T57" s="54" t="str">
        <f>IF(S57="","",IFERROR(S57/VLOOKUP("EUR",Setup!$A$38:$E$52,5,FALSE),""))</f>
        <v/>
      </c>
      <c r="U57" s="54" t="str">
        <f>IF(S57="","",IFERROR(S57/VLOOKUP("USD",Setup!$A$38:$E$52,5,FALSE),""))</f>
        <v/>
      </c>
    </row>
    <row r="58" ht="24.0" customHeight="1">
      <c r="A58" s="78"/>
      <c r="B58" s="78"/>
      <c r="C58" s="78"/>
      <c r="D58" s="78"/>
      <c r="E58" s="78"/>
      <c r="F58" s="99"/>
      <c r="G58" s="104"/>
      <c r="H58" s="99"/>
      <c r="I58" s="78"/>
      <c r="J58" s="99"/>
      <c r="K58" s="99"/>
      <c r="L58" s="99"/>
      <c r="M58" s="99"/>
      <c r="N58" s="65"/>
      <c r="O58" s="66" t="str">
        <f t="shared" si="1"/>
        <v/>
      </c>
      <c r="P58" s="78"/>
      <c r="Q58" s="65"/>
      <c r="R58" s="78"/>
      <c r="S58" s="54" t="str">
        <f>IF(OR(G58="",H58=""),"",IFERROR(G58*VLOOKUP(H58,Setup!$A$38:$E$52,5,FALSE),""))</f>
        <v/>
      </c>
      <c r="T58" s="54" t="str">
        <f>IF(S58="","",IFERROR(S58/VLOOKUP("EUR",Setup!$A$38:$E$52,5,FALSE),""))</f>
        <v/>
      </c>
      <c r="U58" s="54" t="str">
        <f>IF(S58="","",IFERROR(S58/VLOOKUP("USD",Setup!$A$38:$E$52,5,FALSE),""))</f>
        <v/>
      </c>
    </row>
    <row r="59" ht="24.0" customHeight="1">
      <c r="A59" s="78"/>
      <c r="B59" s="78"/>
      <c r="C59" s="78"/>
      <c r="D59" s="78"/>
      <c r="E59" s="78"/>
      <c r="F59" s="99"/>
      <c r="G59" s="104"/>
      <c r="H59" s="99"/>
      <c r="I59" s="78"/>
      <c r="J59" s="99"/>
      <c r="K59" s="99"/>
      <c r="L59" s="99"/>
      <c r="M59" s="99"/>
      <c r="N59" s="65"/>
      <c r="O59" s="66" t="str">
        <f t="shared" si="1"/>
        <v/>
      </c>
      <c r="P59" s="78"/>
      <c r="Q59" s="65"/>
      <c r="R59" s="78"/>
      <c r="S59" s="54" t="str">
        <f>IF(OR(G59="",H59=""),"",IFERROR(G59*VLOOKUP(H59,Setup!$A$38:$E$52,5,FALSE),""))</f>
        <v/>
      </c>
      <c r="T59" s="54" t="str">
        <f>IF(S59="","",IFERROR(S59/VLOOKUP("EUR",Setup!$A$38:$E$52,5,FALSE),""))</f>
        <v/>
      </c>
      <c r="U59" s="54" t="str">
        <f>IF(S59="","",IFERROR(S59/VLOOKUP("USD",Setup!$A$38:$E$52,5,FALSE),""))</f>
        <v/>
      </c>
    </row>
    <row r="60" ht="24.0" customHeight="1">
      <c r="A60" s="78"/>
      <c r="B60" s="78"/>
      <c r="C60" s="78"/>
      <c r="D60" s="78"/>
      <c r="E60" s="78"/>
      <c r="F60" s="99"/>
      <c r="G60" s="104"/>
      <c r="H60" s="99"/>
      <c r="I60" s="78"/>
      <c r="J60" s="99"/>
      <c r="K60" s="99"/>
      <c r="L60" s="99"/>
      <c r="M60" s="99"/>
      <c r="N60" s="65"/>
      <c r="O60" s="66" t="str">
        <f t="shared" si="1"/>
        <v/>
      </c>
      <c r="P60" s="78"/>
      <c r="Q60" s="65"/>
      <c r="R60" s="78"/>
      <c r="S60" s="54" t="str">
        <f>IF(OR(G60="",H60=""),"",IFERROR(G60*VLOOKUP(H60,Setup!$A$38:$E$52,5,FALSE),""))</f>
        <v/>
      </c>
      <c r="T60" s="54" t="str">
        <f>IF(S60="","",IFERROR(S60/VLOOKUP("EUR",Setup!$A$38:$E$52,5,FALSE),""))</f>
        <v/>
      </c>
      <c r="U60" s="54" t="str">
        <f>IF(S60="","",IFERROR(S60/VLOOKUP("USD",Setup!$A$38:$E$52,5,FALSE),""))</f>
        <v/>
      </c>
    </row>
    <row r="61" ht="24.0" customHeight="1">
      <c r="A61" s="78"/>
      <c r="B61" s="78"/>
      <c r="C61" s="78"/>
      <c r="D61" s="78"/>
      <c r="E61" s="78"/>
      <c r="F61" s="99"/>
      <c r="G61" s="104"/>
      <c r="H61" s="99"/>
      <c r="I61" s="78"/>
      <c r="J61" s="99"/>
      <c r="K61" s="99"/>
      <c r="L61" s="99"/>
      <c r="M61" s="99"/>
      <c r="N61" s="65"/>
      <c r="O61" s="66" t="str">
        <f t="shared" si="1"/>
        <v/>
      </c>
      <c r="P61" s="78"/>
      <c r="Q61" s="65"/>
      <c r="R61" s="78"/>
      <c r="S61" s="54" t="str">
        <f>IF(OR(G61="",H61=""),"",IFERROR(G61*VLOOKUP(H61,Setup!$A$38:$E$52,5,FALSE),""))</f>
        <v/>
      </c>
      <c r="T61" s="54" t="str">
        <f>IF(S61="","",IFERROR(S61/VLOOKUP("EUR",Setup!$A$38:$E$52,5,FALSE),""))</f>
        <v/>
      </c>
      <c r="U61" s="54" t="str">
        <f>IF(S61="","",IFERROR(S61/VLOOKUP("USD",Setup!$A$38:$E$52,5,FALSE),""))</f>
        <v/>
      </c>
    </row>
    <row r="62" ht="24.0" customHeight="1">
      <c r="A62" s="78"/>
      <c r="B62" s="78"/>
      <c r="C62" s="78"/>
      <c r="D62" s="78"/>
      <c r="E62" s="78"/>
      <c r="F62" s="99"/>
      <c r="G62" s="104"/>
      <c r="H62" s="99"/>
      <c r="I62" s="78"/>
      <c r="J62" s="99"/>
      <c r="K62" s="99"/>
      <c r="L62" s="99"/>
      <c r="M62" s="99"/>
      <c r="N62" s="65"/>
      <c r="O62" s="66" t="str">
        <f t="shared" si="1"/>
        <v/>
      </c>
      <c r="P62" s="78"/>
      <c r="Q62" s="65"/>
      <c r="R62" s="78"/>
      <c r="S62" s="54" t="str">
        <f>IF(OR(G62="",H62=""),"",IFERROR(G62*VLOOKUP(H62,Setup!$A$38:$E$52,5,FALSE),""))</f>
        <v/>
      </c>
      <c r="T62" s="54" t="str">
        <f>IF(S62="","",IFERROR(S62/VLOOKUP("EUR",Setup!$A$38:$E$52,5,FALSE),""))</f>
        <v/>
      </c>
      <c r="U62" s="54" t="str">
        <f>IF(S62="","",IFERROR(S62/VLOOKUP("USD",Setup!$A$38:$E$52,5,FALSE),""))</f>
        <v/>
      </c>
    </row>
    <row r="63" ht="24.0" customHeight="1">
      <c r="A63" s="78"/>
      <c r="B63" s="78"/>
      <c r="C63" s="78"/>
      <c r="D63" s="78"/>
      <c r="E63" s="78"/>
      <c r="F63" s="99"/>
      <c r="G63" s="104"/>
      <c r="H63" s="99"/>
      <c r="I63" s="78"/>
      <c r="J63" s="99"/>
      <c r="K63" s="99"/>
      <c r="L63" s="99"/>
      <c r="M63" s="99"/>
      <c r="N63" s="65"/>
      <c r="O63" s="66" t="str">
        <f t="shared" si="1"/>
        <v/>
      </c>
      <c r="P63" s="78"/>
      <c r="Q63" s="65"/>
      <c r="R63" s="78"/>
      <c r="S63" s="54" t="str">
        <f>IF(OR(G63="",H63=""),"",IFERROR(G63*VLOOKUP(H63,Setup!$A$38:$E$52,5,FALSE),""))</f>
        <v/>
      </c>
      <c r="T63" s="54" t="str">
        <f>IF(S63="","",IFERROR(S63/VLOOKUP("EUR",Setup!$A$38:$E$52,5,FALSE),""))</f>
        <v/>
      </c>
      <c r="U63" s="54" t="str">
        <f>IF(S63="","",IFERROR(S63/VLOOKUP("USD",Setup!$A$38:$E$52,5,FALSE),""))</f>
        <v/>
      </c>
    </row>
    <row r="64" ht="24.0" customHeight="1">
      <c r="A64" s="78"/>
      <c r="B64" s="78"/>
      <c r="C64" s="78"/>
      <c r="D64" s="78"/>
      <c r="E64" s="78"/>
      <c r="F64" s="99"/>
      <c r="G64" s="104"/>
      <c r="H64" s="99"/>
      <c r="I64" s="78"/>
      <c r="J64" s="99"/>
      <c r="K64" s="99"/>
      <c r="L64" s="99"/>
      <c r="M64" s="99"/>
      <c r="N64" s="65"/>
      <c r="O64" s="66" t="str">
        <f t="shared" si="1"/>
        <v/>
      </c>
      <c r="P64" s="78"/>
      <c r="Q64" s="65"/>
      <c r="R64" s="78"/>
      <c r="S64" s="54" t="str">
        <f>IF(OR(G64="",H64=""),"",IFERROR(G64*VLOOKUP(H64,Setup!$A$38:$E$52,5,FALSE),""))</f>
        <v/>
      </c>
      <c r="T64" s="54" t="str">
        <f>IF(S64="","",IFERROR(S64/VLOOKUP("EUR",Setup!$A$38:$E$52,5,FALSE),""))</f>
        <v/>
      </c>
      <c r="U64" s="54" t="str">
        <f>IF(S64="","",IFERROR(S64/VLOOKUP("USD",Setup!$A$38:$E$52,5,FALSE),""))</f>
        <v/>
      </c>
    </row>
    <row r="65" ht="24.0" customHeight="1">
      <c r="A65" s="78"/>
      <c r="B65" s="78"/>
      <c r="C65" s="78"/>
      <c r="D65" s="78"/>
      <c r="E65" s="78"/>
      <c r="F65" s="99"/>
      <c r="G65" s="104"/>
      <c r="H65" s="99"/>
      <c r="I65" s="78"/>
      <c r="J65" s="99"/>
      <c r="K65" s="99"/>
      <c r="L65" s="99"/>
      <c r="M65" s="99"/>
      <c r="N65" s="65"/>
      <c r="O65" s="66" t="str">
        <f t="shared" si="1"/>
        <v/>
      </c>
      <c r="P65" s="78"/>
      <c r="Q65" s="65"/>
      <c r="R65" s="78"/>
      <c r="S65" s="54" t="str">
        <f>IF(OR(G65="",H65=""),"",IFERROR(G65*VLOOKUP(H65,Setup!$A$38:$E$52,5,FALSE),""))</f>
        <v/>
      </c>
      <c r="T65" s="54" t="str">
        <f>IF(S65="","",IFERROR(S65/VLOOKUP("EUR",Setup!$A$38:$E$52,5,FALSE),""))</f>
        <v/>
      </c>
      <c r="U65" s="54" t="str">
        <f>IF(S65="","",IFERROR(S65/VLOOKUP("USD",Setup!$A$38:$E$52,5,FALSE),""))</f>
        <v/>
      </c>
    </row>
    <row r="66" ht="24.0" customHeight="1">
      <c r="A66" s="78"/>
      <c r="B66" s="78"/>
      <c r="C66" s="78"/>
      <c r="D66" s="78"/>
      <c r="E66" s="78"/>
      <c r="F66" s="99"/>
      <c r="G66" s="104"/>
      <c r="H66" s="99"/>
      <c r="I66" s="78"/>
      <c r="J66" s="99"/>
      <c r="K66" s="99"/>
      <c r="L66" s="99"/>
      <c r="M66" s="99"/>
      <c r="N66" s="65"/>
      <c r="O66" s="66" t="str">
        <f t="shared" si="1"/>
        <v/>
      </c>
      <c r="P66" s="78"/>
      <c r="Q66" s="65"/>
      <c r="R66" s="78"/>
      <c r="S66" s="54" t="str">
        <f>IF(OR(G66="",H66=""),"",IFERROR(G66*VLOOKUP(H66,Setup!$A$38:$E$52,5,FALSE),""))</f>
        <v/>
      </c>
      <c r="T66" s="54" t="str">
        <f>IF(S66="","",IFERROR(S66/VLOOKUP("EUR",Setup!$A$38:$E$52,5,FALSE),""))</f>
        <v/>
      </c>
      <c r="U66" s="54" t="str">
        <f>IF(S66="","",IFERROR(S66/VLOOKUP("USD",Setup!$A$38:$E$52,5,FALSE),""))</f>
        <v/>
      </c>
    </row>
    <row r="67" ht="24.0" customHeight="1">
      <c r="A67" s="78"/>
      <c r="B67" s="78"/>
      <c r="C67" s="78"/>
      <c r="D67" s="78"/>
      <c r="E67" s="78"/>
      <c r="F67" s="99"/>
      <c r="G67" s="104"/>
      <c r="H67" s="99"/>
      <c r="I67" s="78"/>
      <c r="J67" s="99"/>
      <c r="K67" s="99"/>
      <c r="L67" s="99"/>
      <c r="M67" s="99"/>
      <c r="N67" s="65"/>
      <c r="O67" s="66" t="str">
        <f t="shared" si="1"/>
        <v/>
      </c>
      <c r="P67" s="78"/>
      <c r="Q67" s="65"/>
      <c r="R67" s="78"/>
      <c r="S67" s="54" t="str">
        <f>IF(OR(G67="",H67=""),"",IFERROR(G67*VLOOKUP(H67,Setup!$A$38:$E$52,5,FALSE),""))</f>
        <v/>
      </c>
      <c r="T67" s="54" t="str">
        <f>IF(S67="","",IFERROR(S67/VLOOKUP("EUR",Setup!$A$38:$E$52,5,FALSE),""))</f>
        <v/>
      </c>
      <c r="U67" s="54" t="str">
        <f>IF(S67="","",IFERROR(S67/VLOOKUP("USD",Setup!$A$38:$E$52,5,FALSE),""))</f>
        <v/>
      </c>
    </row>
    <row r="68" ht="24.0" customHeight="1">
      <c r="A68" s="78"/>
      <c r="B68" s="78"/>
      <c r="C68" s="78"/>
      <c r="D68" s="78"/>
      <c r="E68" s="78"/>
      <c r="F68" s="99"/>
      <c r="G68" s="104"/>
      <c r="H68" s="99"/>
      <c r="I68" s="78"/>
      <c r="J68" s="99"/>
      <c r="K68" s="99"/>
      <c r="L68" s="99"/>
      <c r="M68" s="99"/>
      <c r="N68" s="65"/>
      <c r="O68" s="66" t="str">
        <f t="shared" si="1"/>
        <v/>
      </c>
      <c r="P68" s="78"/>
      <c r="Q68" s="65"/>
      <c r="R68" s="78"/>
      <c r="S68" s="54" t="str">
        <f>IF(OR(G68="",H68=""),"",IFERROR(G68*VLOOKUP(H68,Setup!$A$38:$E$52,5,FALSE),""))</f>
        <v/>
      </c>
      <c r="T68" s="54" t="str">
        <f>IF(S68="","",IFERROR(S68/VLOOKUP("EUR",Setup!$A$38:$E$52,5,FALSE),""))</f>
        <v/>
      </c>
      <c r="U68" s="54" t="str">
        <f>IF(S68="","",IFERROR(S68/VLOOKUP("USD",Setup!$A$38:$E$52,5,FALSE),""))</f>
        <v/>
      </c>
    </row>
    <row r="69" ht="24.0" customHeight="1">
      <c r="A69" s="78"/>
      <c r="B69" s="78"/>
      <c r="C69" s="78"/>
      <c r="D69" s="78"/>
      <c r="E69" s="78"/>
      <c r="F69" s="99"/>
      <c r="G69" s="104"/>
      <c r="H69" s="99"/>
      <c r="I69" s="78"/>
      <c r="J69" s="99"/>
      <c r="K69" s="99"/>
      <c r="L69" s="99"/>
      <c r="M69" s="99"/>
      <c r="N69" s="65"/>
      <c r="O69" s="66" t="str">
        <f t="shared" si="1"/>
        <v/>
      </c>
      <c r="P69" s="78"/>
      <c r="Q69" s="65"/>
      <c r="R69" s="78"/>
      <c r="S69" s="54" t="str">
        <f>IF(OR(G69="",H69=""),"",IFERROR(G69*VLOOKUP(H69,Setup!$A$38:$E$52,5,FALSE),""))</f>
        <v/>
      </c>
      <c r="T69" s="54" t="str">
        <f>IF(S69="","",IFERROR(S69/VLOOKUP("EUR",Setup!$A$38:$E$52,5,FALSE),""))</f>
        <v/>
      </c>
      <c r="U69" s="54" t="str">
        <f>IF(S69="","",IFERROR(S69/VLOOKUP("USD",Setup!$A$38:$E$52,5,FALSE),""))</f>
        <v/>
      </c>
    </row>
    <row r="70" ht="24.0" customHeight="1">
      <c r="A70" s="78"/>
      <c r="B70" s="78"/>
      <c r="C70" s="78"/>
      <c r="D70" s="78"/>
      <c r="E70" s="78"/>
      <c r="F70" s="99"/>
      <c r="G70" s="104"/>
      <c r="H70" s="99"/>
      <c r="I70" s="78"/>
      <c r="J70" s="99"/>
      <c r="K70" s="99"/>
      <c r="L70" s="99"/>
      <c r="M70" s="99"/>
      <c r="N70" s="65"/>
      <c r="O70" s="66" t="str">
        <f t="shared" si="1"/>
        <v/>
      </c>
      <c r="P70" s="78"/>
      <c r="Q70" s="65"/>
      <c r="R70" s="78"/>
      <c r="S70" s="54" t="str">
        <f>IF(OR(G70="",H70=""),"",IFERROR(G70*VLOOKUP(H70,Setup!$A$38:$E$52,5,FALSE),""))</f>
        <v/>
      </c>
      <c r="T70" s="54" t="str">
        <f>IF(S70="","",IFERROR(S70/VLOOKUP("EUR",Setup!$A$38:$E$52,5,FALSE),""))</f>
        <v/>
      </c>
      <c r="U70" s="54" t="str">
        <f>IF(S70="","",IFERROR(S70/VLOOKUP("USD",Setup!$A$38:$E$52,5,FALSE),""))</f>
        <v/>
      </c>
    </row>
    <row r="71" ht="24.0" customHeight="1">
      <c r="A71" s="78"/>
      <c r="B71" s="78"/>
      <c r="C71" s="78"/>
      <c r="D71" s="78"/>
      <c r="E71" s="78"/>
      <c r="F71" s="99"/>
      <c r="G71" s="104"/>
      <c r="H71" s="99"/>
      <c r="I71" s="78"/>
      <c r="J71" s="99"/>
      <c r="K71" s="99"/>
      <c r="L71" s="99"/>
      <c r="M71" s="99"/>
      <c r="N71" s="65"/>
      <c r="O71" s="66" t="str">
        <f t="shared" si="1"/>
        <v/>
      </c>
      <c r="P71" s="78"/>
      <c r="Q71" s="65"/>
      <c r="R71" s="78"/>
      <c r="S71" s="54" t="str">
        <f>IF(OR(G71="",H71=""),"",IFERROR(G71*VLOOKUP(H71,Setup!$A$38:$E$52,5,FALSE),""))</f>
        <v/>
      </c>
      <c r="T71" s="54" t="str">
        <f>IF(S71="","",IFERROR(S71/VLOOKUP("EUR",Setup!$A$38:$E$52,5,FALSE),""))</f>
        <v/>
      </c>
      <c r="U71" s="54" t="str">
        <f>IF(S71="","",IFERROR(S71/VLOOKUP("USD",Setup!$A$38:$E$52,5,FALSE),""))</f>
        <v/>
      </c>
    </row>
    <row r="72" ht="24.0" customHeight="1">
      <c r="A72" s="78"/>
      <c r="B72" s="78"/>
      <c r="C72" s="78"/>
      <c r="D72" s="78"/>
      <c r="E72" s="78"/>
      <c r="F72" s="99"/>
      <c r="G72" s="104"/>
      <c r="H72" s="99"/>
      <c r="I72" s="78"/>
      <c r="J72" s="99"/>
      <c r="K72" s="99"/>
      <c r="L72" s="99"/>
      <c r="M72" s="99"/>
      <c r="N72" s="65"/>
      <c r="O72" s="66" t="str">
        <f t="shared" si="1"/>
        <v/>
      </c>
      <c r="P72" s="78"/>
      <c r="Q72" s="65"/>
      <c r="R72" s="78"/>
      <c r="S72" s="54" t="str">
        <f>IF(OR(G72="",H72=""),"",IFERROR(G72*VLOOKUP(H72,Setup!$A$38:$E$52,5,FALSE),""))</f>
        <v/>
      </c>
      <c r="T72" s="54" t="str">
        <f>IF(S72="","",IFERROR(S72/VLOOKUP("EUR",Setup!$A$38:$E$52,5,FALSE),""))</f>
        <v/>
      </c>
      <c r="U72" s="54" t="str">
        <f>IF(S72="","",IFERROR(S72/VLOOKUP("USD",Setup!$A$38:$E$52,5,FALSE),""))</f>
        <v/>
      </c>
    </row>
    <row r="73" ht="24.0" customHeight="1">
      <c r="A73" s="78"/>
      <c r="B73" s="78"/>
      <c r="C73" s="78"/>
      <c r="D73" s="78"/>
      <c r="E73" s="78"/>
      <c r="F73" s="99"/>
      <c r="G73" s="104"/>
      <c r="H73" s="99"/>
      <c r="I73" s="78"/>
      <c r="J73" s="99"/>
      <c r="K73" s="99"/>
      <c r="L73" s="99"/>
      <c r="M73" s="99"/>
      <c r="N73" s="65"/>
      <c r="O73" s="66" t="str">
        <f t="shared" si="1"/>
        <v/>
      </c>
      <c r="P73" s="78"/>
      <c r="Q73" s="65"/>
      <c r="R73" s="78"/>
      <c r="S73" s="54" t="str">
        <f>IF(OR(G73="",H73=""),"",IFERROR(G73*VLOOKUP(H73,Setup!$A$38:$E$52,5,FALSE),""))</f>
        <v/>
      </c>
      <c r="T73" s="54" t="str">
        <f>IF(S73="","",IFERROR(S73/VLOOKUP("EUR",Setup!$A$38:$E$52,5,FALSE),""))</f>
        <v/>
      </c>
      <c r="U73" s="54" t="str">
        <f>IF(S73="","",IFERROR(S73/VLOOKUP("USD",Setup!$A$38:$E$52,5,FALSE),""))</f>
        <v/>
      </c>
    </row>
    <row r="74" ht="24.0" customHeight="1">
      <c r="A74" s="78"/>
      <c r="B74" s="78"/>
      <c r="C74" s="78"/>
      <c r="D74" s="78"/>
      <c r="E74" s="78"/>
      <c r="F74" s="99"/>
      <c r="G74" s="104"/>
      <c r="H74" s="99"/>
      <c r="I74" s="78"/>
      <c r="J74" s="99"/>
      <c r="K74" s="99"/>
      <c r="L74" s="99"/>
      <c r="M74" s="99"/>
      <c r="N74" s="65"/>
      <c r="O74" s="66" t="str">
        <f t="shared" si="1"/>
        <v/>
      </c>
      <c r="P74" s="78"/>
      <c r="Q74" s="65"/>
      <c r="R74" s="78"/>
      <c r="S74" s="54" t="str">
        <f>IF(OR(G74="",H74=""),"",IFERROR(G74*VLOOKUP(H74,Setup!$A$38:$E$52,5,FALSE),""))</f>
        <v/>
      </c>
      <c r="T74" s="54" t="str">
        <f>IF(S74="","",IFERROR(S74/VLOOKUP("EUR",Setup!$A$38:$E$52,5,FALSE),""))</f>
        <v/>
      </c>
      <c r="U74" s="54" t="str">
        <f>IF(S74="","",IFERROR(S74/VLOOKUP("USD",Setup!$A$38:$E$52,5,FALSE),""))</f>
        <v/>
      </c>
    </row>
    <row r="75" ht="24.0" customHeight="1">
      <c r="A75" s="78"/>
      <c r="B75" s="78"/>
      <c r="C75" s="78"/>
      <c r="D75" s="78"/>
      <c r="E75" s="78"/>
      <c r="F75" s="99"/>
      <c r="G75" s="104"/>
      <c r="H75" s="99"/>
      <c r="I75" s="78"/>
      <c r="J75" s="99"/>
      <c r="K75" s="99"/>
      <c r="L75" s="99"/>
      <c r="M75" s="99"/>
      <c r="N75" s="65"/>
      <c r="O75" s="66" t="str">
        <f t="shared" si="1"/>
        <v/>
      </c>
      <c r="P75" s="78"/>
      <c r="Q75" s="65"/>
      <c r="R75" s="78"/>
      <c r="S75" s="54" t="str">
        <f>IF(OR(G75="",H75=""),"",IFERROR(G75*VLOOKUP(H75,Setup!$A$38:$E$52,5,FALSE),""))</f>
        <v/>
      </c>
      <c r="T75" s="54" t="str">
        <f>IF(S75="","",IFERROR(S75/VLOOKUP("EUR",Setup!$A$38:$E$52,5,FALSE),""))</f>
        <v/>
      </c>
      <c r="U75" s="54" t="str">
        <f>IF(S75="","",IFERROR(S75/VLOOKUP("USD",Setup!$A$38:$E$52,5,FALSE),""))</f>
        <v/>
      </c>
    </row>
    <row r="76" ht="24.0" customHeight="1">
      <c r="A76" s="78"/>
      <c r="B76" s="78"/>
      <c r="C76" s="78"/>
      <c r="D76" s="78"/>
      <c r="E76" s="78"/>
      <c r="F76" s="99"/>
      <c r="G76" s="104"/>
      <c r="H76" s="99"/>
      <c r="I76" s="78"/>
      <c r="J76" s="99"/>
      <c r="K76" s="99"/>
      <c r="L76" s="99"/>
      <c r="M76" s="99"/>
      <c r="N76" s="65"/>
      <c r="O76" s="66" t="str">
        <f t="shared" si="1"/>
        <v/>
      </c>
      <c r="P76" s="78"/>
      <c r="Q76" s="65"/>
      <c r="R76" s="78"/>
      <c r="S76" s="54" t="str">
        <f>IF(OR(G76="",H76=""),"",IFERROR(G76*VLOOKUP(H76,Setup!$A$38:$E$52,5,FALSE),""))</f>
        <v/>
      </c>
      <c r="T76" s="54" t="str">
        <f>IF(S76="","",IFERROR(S76/VLOOKUP("EUR",Setup!$A$38:$E$52,5,FALSE),""))</f>
        <v/>
      </c>
      <c r="U76" s="54" t="str">
        <f>IF(S76="","",IFERROR(S76/VLOOKUP("USD",Setup!$A$38:$E$52,5,FALSE),""))</f>
        <v/>
      </c>
    </row>
    <row r="77" ht="24.0" customHeight="1">
      <c r="A77" s="78"/>
      <c r="B77" s="78"/>
      <c r="C77" s="78"/>
      <c r="D77" s="78"/>
      <c r="E77" s="78"/>
      <c r="F77" s="99"/>
      <c r="G77" s="104"/>
      <c r="H77" s="99"/>
      <c r="I77" s="78"/>
      <c r="J77" s="99"/>
      <c r="K77" s="99"/>
      <c r="L77" s="99"/>
      <c r="M77" s="99"/>
      <c r="N77" s="65"/>
      <c r="O77" s="66" t="str">
        <f t="shared" si="1"/>
        <v/>
      </c>
      <c r="P77" s="78"/>
      <c r="Q77" s="65"/>
      <c r="R77" s="78"/>
      <c r="S77" s="54" t="str">
        <f>IF(OR(G77="",H77=""),"",IFERROR(G77*VLOOKUP(H77,Setup!$A$38:$E$52,5,FALSE),""))</f>
        <v/>
      </c>
      <c r="T77" s="54" t="str">
        <f>IF(S77="","",IFERROR(S77/VLOOKUP("EUR",Setup!$A$38:$E$52,5,FALSE),""))</f>
        <v/>
      </c>
      <c r="U77" s="54" t="str">
        <f>IF(S77="","",IFERROR(S77/VLOOKUP("USD",Setup!$A$38:$E$52,5,FALSE),""))</f>
        <v/>
      </c>
    </row>
    <row r="78" ht="24.0" customHeight="1">
      <c r="A78" s="78"/>
      <c r="B78" s="78"/>
      <c r="C78" s="78"/>
      <c r="D78" s="78"/>
      <c r="E78" s="78"/>
      <c r="F78" s="99"/>
      <c r="G78" s="104"/>
      <c r="H78" s="99"/>
      <c r="I78" s="78"/>
      <c r="J78" s="99"/>
      <c r="K78" s="99"/>
      <c r="L78" s="99"/>
      <c r="M78" s="99"/>
      <c r="N78" s="65"/>
      <c r="O78" s="66" t="str">
        <f t="shared" si="1"/>
        <v/>
      </c>
      <c r="P78" s="78"/>
      <c r="Q78" s="65"/>
      <c r="R78" s="78"/>
      <c r="S78" s="54" t="str">
        <f>IF(OR(G78="",H78=""),"",IFERROR(G78*VLOOKUP(H78,Setup!$A$38:$E$52,5,FALSE),""))</f>
        <v/>
      </c>
      <c r="T78" s="54" t="str">
        <f>IF(S78="","",IFERROR(S78/VLOOKUP("EUR",Setup!$A$38:$E$52,5,FALSE),""))</f>
        <v/>
      </c>
      <c r="U78" s="54" t="str">
        <f>IF(S78="","",IFERROR(S78/VLOOKUP("USD",Setup!$A$38:$E$52,5,FALSE),""))</f>
        <v/>
      </c>
    </row>
    <row r="79" ht="24.0" customHeight="1">
      <c r="A79" s="78"/>
      <c r="B79" s="78"/>
      <c r="C79" s="78"/>
      <c r="D79" s="78"/>
      <c r="E79" s="78"/>
      <c r="F79" s="99"/>
      <c r="G79" s="104"/>
      <c r="H79" s="99"/>
      <c r="I79" s="78"/>
      <c r="J79" s="99"/>
      <c r="K79" s="99"/>
      <c r="L79" s="99"/>
      <c r="M79" s="99"/>
      <c r="N79" s="65"/>
      <c r="O79" s="66" t="str">
        <f t="shared" si="1"/>
        <v/>
      </c>
      <c r="P79" s="78"/>
      <c r="Q79" s="65"/>
      <c r="R79" s="78"/>
      <c r="S79" s="54" t="str">
        <f>IF(OR(G79="",H79=""),"",IFERROR(G79*VLOOKUP(H79,Setup!$A$38:$E$52,5,FALSE),""))</f>
        <v/>
      </c>
      <c r="T79" s="54" t="str">
        <f>IF(S79="","",IFERROR(S79/VLOOKUP("EUR",Setup!$A$38:$E$52,5,FALSE),""))</f>
        <v/>
      </c>
      <c r="U79" s="54" t="str">
        <f>IF(S79="","",IFERROR(S79/VLOOKUP("USD",Setup!$A$38:$E$52,5,FALSE),""))</f>
        <v/>
      </c>
    </row>
    <row r="80" ht="24.0" customHeight="1">
      <c r="A80" s="78"/>
      <c r="B80" s="78"/>
      <c r="C80" s="78"/>
      <c r="D80" s="78"/>
      <c r="E80" s="78"/>
      <c r="F80" s="99"/>
      <c r="G80" s="104"/>
      <c r="H80" s="99"/>
      <c r="I80" s="78"/>
      <c r="J80" s="99"/>
      <c r="K80" s="99"/>
      <c r="L80" s="99"/>
      <c r="M80" s="99"/>
      <c r="N80" s="65"/>
      <c r="O80" s="66" t="str">
        <f t="shared" si="1"/>
        <v/>
      </c>
      <c r="P80" s="78"/>
      <c r="Q80" s="65"/>
      <c r="R80" s="78"/>
      <c r="S80" s="54" t="str">
        <f>IF(OR(G80="",H80=""),"",IFERROR(G80*VLOOKUP(H80,Setup!$A$38:$E$52,5,FALSE),""))</f>
        <v/>
      </c>
      <c r="T80" s="54" t="str">
        <f>IF(S80="","",IFERROR(S80/VLOOKUP("EUR",Setup!$A$38:$E$52,5,FALSE),""))</f>
        <v/>
      </c>
      <c r="U80" s="54" t="str">
        <f>IF(S80="","",IFERROR(S80/VLOOKUP("USD",Setup!$A$38:$E$52,5,FALSE),""))</f>
        <v/>
      </c>
    </row>
    <row r="81" ht="24.0" customHeight="1">
      <c r="A81" s="78"/>
      <c r="B81" s="78"/>
      <c r="C81" s="78"/>
      <c r="D81" s="78"/>
      <c r="E81" s="78"/>
      <c r="F81" s="99"/>
      <c r="G81" s="104"/>
      <c r="H81" s="99"/>
      <c r="I81" s="78"/>
      <c r="J81" s="99"/>
      <c r="K81" s="99"/>
      <c r="L81" s="99"/>
      <c r="M81" s="99"/>
      <c r="N81" s="65"/>
      <c r="O81" s="66" t="str">
        <f t="shared" si="1"/>
        <v/>
      </c>
      <c r="P81" s="78"/>
      <c r="Q81" s="65"/>
      <c r="R81" s="78"/>
      <c r="S81" s="54" t="str">
        <f>IF(OR(G81="",H81=""),"",IFERROR(G81*VLOOKUP(H81,Setup!$A$38:$E$52,5,FALSE),""))</f>
        <v/>
      </c>
      <c r="T81" s="54" t="str">
        <f>IF(S81="","",IFERROR(S81/VLOOKUP("EUR",Setup!$A$38:$E$52,5,FALSE),""))</f>
        <v/>
      </c>
      <c r="U81" s="54" t="str">
        <f>IF(S81="","",IFERROR(S81/VLOOKUP("USD",Setup!$A$38:$E$52,5,FALSE),""))</f>
        <v/>
      </c>
    </row>
    <row r="82" ht="24.0" customHeight="1">
      <c r="A82" s="78"/>
      <c r="B82" s="78"/>
      <c r="C82" s="78"/>
      <c r="D82" s="78"/>
      <c r="E82" s="78"/>
      <c r="F82" s="99"/>
      <c r="G82" s="104"/>
      <c r="H82" s="99"/>
      <c r="I82" s="78"/>
      <c r="J82" s="99"/>
      <c r="K82" s="99"/>
      <c r="L82" s="99"/>
      <c r="M82" s="99"/>
      <c r="N82" s="65"/>
      <c r="O82" s="66" t="str">
        <f t="shared" si="1"/>
        <v/>
      </c>
      <c r="P82" s="78"/>
      <c r="Q82" s="65"/>
      <c r="R82" s="78"/>
      <c r="S82" s="54" t="str">
        <f>IF(OR(G82="",H82=""),"",IFERROR(G82*VLOOKUP(H82,Setup!$A$38:$E$52,5,FALSE),""))</f>
        <v/>
      </c>
      <c r="T82" s="54" t="str">
        <f>IF(S82="","",IFERROR(S82/VLOOKUP("EUR",Setup!$A$38:$E$52,5,FALSE),""))</f>
        <v/>
      </c>
      <c r="U82" s="54" t="str">
        <f>IF(S82="","",IFERROR(S82/VLOOKUP("USD",Setup!$A$38:$E$52,5,FALSE),""))</f>
        <v/>
      </c>
    </row>
    <row r="83" ht="24.0" customHeight="1">
      <c r="A83" s="78"/>
      <c r="B83" s="78"/>
      <c r="C83" s="78"/>
      <c r="D83" s="78"/>
      <c r="E83" s="78"/>
      <c r="F83" s="99"/>
      <c r="G83" s="104"/>
      <c r="H83" s="99"/>
      <c r="I83" s="78"/>
      <c r="J83" s="99"/>
      <c r="K83" s="99"/>
      <c r="L83" s="99"/>
      <c r="M83" s="99"/>
      <c r="N83" s="65"/>
      <c r="O83" s="66" t="str">
        <f t="shared" si="1"/>
        <v/>
      </c>
      <c r="P83" s="78"/>
      <c r="Q83" s="65"/>
      <c r="R83" s="78"/>
      <c r="S83" s="54" t="str">
        <f>IF(OR(G83="",H83=""),"",IFERROR(G83*VLOOKUP(H83,Setup!$A$38:$E$52,5,FALSE),""))</f>
        <v/>
      </c>
      <c r="T83" s="54" t="str">
        <f>IF(S83="","",IFERROR(S83/VLOOKUP("EUR",Setup!$A$38:$E$52,5,FALSE),""))</f>
        <v/>
      </c>
      <c r="U83" s="54" t="str">
        <f>IF(S83="","",IFERROR(S83/VLOOKUP("USD",Setup!$A$38:$E$52,5,FALSE),""))</f>
        <v/>
      </c>
    </row>
    <row r="84" ht="24.0" customHeight="1">
      <c r="A84" s="78"/>
      <c r="B84" s="78"/>
      <c r="C84" s="78"/>
      <c r="D84" s="78"/>
      <c r="E84" s="78"/>
      <c r="F84" s="99"/>
      <c r="G84" s="104"/>
      <c r="H84" s="99"/>
      <c r="I84" s="78"/>
      <c r="J84" s="99"/>
      <c r="K84" s="99"/>
      <c r="L84" s="99"/>
      <c r="M84" s="99"/>
      <c r="N84" s="65"/>
      <c r="O84" s="66" t="str">
        <f t="shared" si="1"/>
        <v/>
      </c>
      <c r="P84" s="78"/>
      <c r="Q84" s="65"/>
      <c r="R84" s="78"/>
      <c r="S84" s="54" t="str">
        <f>IF(OR(G84="",H84=""),"",IFERROR(G84*VLOOKUP(H84,Setup!$A$38:$E$52,5,FALSE),""))</f>
        <v/>
      </c>
      <c r="T84" s="54" t="str">
        <f>IF(S84="","",IFERROR(S84/VLOOKUP("EUR",Setup!$A$38:$E$52,5,FALSE),""))</f>
        <v/>
      </c>
      <c r="U84" s="54" t="str">
        <f>IF(S84="","",IFERROR(S84/VLOOKUP("USD",Setup!$A$38:$E$52,5,FALSE),""))</f>
        <v/>
      </c>
    </row>
    <row r="85" ht="24.0" customHeight="1">
      <c r="A85" s="78"/>
      <c r="B85" s="78"/>
      <c r="C85" s="78"/>
      <c r="D85" s="78"/>
      <c r="E85" s="78"/>
      <c r="F85" s="99"/>
      <c r="G85" s="104"/>
      <c r="H85" s="99"/>
      <c r="I85" s="78"/>
      <c r="J85" s="99"/>
      <c r="K85" s="99"/>
      <c r="L85" s="99"/>
      <c r="M85" s="99"/>
      <c r="N85" s="65"/>
      <c r="O85" s="66" t="str">
        <f t="shared" si="1"/>
        <v/>
      </c>
      <c r="P85" s="78"/>
      <c r="Q85" s="65"/>
      <c r="R85" s="78"/>
      <c r="S85" s="54" t="str">
        <f>IF(OR(G85="",H85=""),"",IFERROR(G85*VLOOKUP(H85,Setup!$A$38:$E$52,5,FALSE),""))</f>
        <v/>
      </c>
      <c r="T85" s="54" t="str">
        <f>IF(S85="","",IFERROR(S85/VLOOKUP("EUR",Setup!$A$38:$E$52,5,FALSE),""))</f>
        <v/>
      </c>
      <c r="U85" s="54" t="str">
        <f>IF(S85="","",IFERROR(S85/VLOOKUP("USD",Setup!$A$38:$E$52,5,FALSE),""))</f>
        <v/>
      </c>
    </row>
    <row r="86" ht="24.0" customHeight="1">
      <c r="A86" s="78"/>
      <c r="B86" s="78"/>
      <c r="C86" s="78"/>
      <c r="D86" s="78"/>
      <c r="E86" s="78"/>
      <c r="F86" s="99"/>
      <c r="G86" s="104"/>
      <c r="H86" s="99"/>
      <c r="I86" s="78"/>
      <c r="J86" s="99"/>
      <c r="K86" s="99"/>
      <c r="L86" s="99"/>
      <c r="M86" s="99"/>
      <c r="N86" s="65"/>
      <c r="O86" s="66" t="str">
        <f t="shared" si="1"/>
        <v/>
      </c>
      <c r="P86" s="78"/>
      <c r="Q86" s="65"/>
      <c r="R86" s="78"/>
      <c r="S86" s="54" t="str">
        <f>IF(OR(G86="",H86=""),"",IFERROR(G86*VLOOKUP(H86,Setup!$A$38:$E$52,5,FALSE),""))</f>
        <v/>
      </c>
      <c r="T86" s="54" t="str">
        <f>IF(S86="","",IFERROR(S86/VLOOKUP("EUR",Setup!$A$38:$E$52,5,FALSE),""))</f>
        <v/>
      </c>
      <c r="U86" s="54" t="str">
        <f>IF(S86="","",IFERROR(S86/VLOOKUP("USD",Setup!$A$38:$E$52,5,FALSE),""))</f>
        <v/>
      </c>
    </row>
    <row r="87" ht="24.0" customHeight="1">
      <c r="A87" s="78"/>
      <c r="B87" s="78"/>
      <c r="C87" s="78"/>
      <c r="D87" s="78"/>
      <c r="E87" s="78"/>
      <c r="F87" s="99"/>
      <c r="G87" s="104"/>
      <c r="H87" s="99"/>
      <c r="I87" s="78"/>
      <c r="J87" s="99"/>
      <c r="K87" s="99"/>
      <c r="L87" s="99"/>
      <c r="M87" s="99"/>
      <c r="N87" s="65"/>
      <c r="O87" s="66" t="str">
        <f t="shared" si="1"/>
        <v/>
      </c>
      <c r="P87" s="78"/>
      <c r="Q87" s="65"/>
      <c r="R87" s="78"/>
      <c r="S87" s="54" t="str">
        <f>IF(OR(G87="",H87=""),"",IFERROR(G87*VLOOKUP(H87,Setup!$A$38:$E$52,5,FALSE),""))</f>
        <v/>
      </c>
      <c r="T87" s="54" t="str">
        <f>IF(S87="","",IFERROR(S87/VLOOKUP("EUR",Setup!$A$38:$E$52,5,FALSE),""))</f>
        <v/>
      </c>
      <c r="U87" s="54" t="str">
        <f>IF(S87="","",IFERROR(S87/VLOOKUP("USD",Setup!$A$38:$E$52,5,FALSE),""))</f>
        <v/>
      </c>
    </row>
    <row r="88" ht="24.0" customHeight="1">
      <c r="A88" s="78"/>
      <c r="B88" s="78"/>
      <c r="C88" s="78"/>
      <c r="D88" s="78"/>
      <c r="E88" s="78"/>
      <c r="F88" s="99"/>
      <c r="G88" s="104"/>
      <c r="H88" s="99"/>
      <c r="I88" s="78"/>
      <c r="J88" s="99"/>
      <c r="K88" s="99"/>
      <c r="L88" s="99"/>
      <c r="M88" s="99"/>
      <c r="N88" s="65"/>
      <c r="O88" s="66" t="str">
        <f t="shared" si="1"/>
        <v/>
      </c>
      <c r="P88" s="78"/>
      <c r="Q88" s="65"/>
      <c r="R88" s="78"/>
      <c r="S88" s="54" t="str">
        <f>IF(OR(G88="",H88=""),"",IFERROR(G88*VLOOKUP(H88,Setup!$A$38:$E$52,5,FALSE),""))</f>
        <v/>
      </c>
      <c r="T88" s="54" t="str">
        <f>IF(S88="","",IFERROR(S88/VLOOKUP("EUR",Setup!$A$38:$E$52,5,FALSE),""))</f>
        <v/>
      </c>
      <c r="U88" s="54" t="str">
        <f>IF(S88="","",IFERROR(S88/VLOOKUP("USD",Setup!$A$38:$E$52,5,FALSE),""))</f>
        <v/>
      </c>
    </row>
    <row r="89" ht="24.0" customHeight="1">
      <c r="A89" s="78"/>
      <c r="B89" s="78"/>
      <c r="C89" s="78"/>
      <c r="D89" s="78"/>
      <c r="E89" s="78"/>
      <c r="F89" s="99"/>
      <c r="G89" s="104"/>
      <c r="H89" s="99"/>
      <c r="I89" s="78"/>
      <c r="J89" s="99"/>
      <c r="K89" s="99"/>
      <c r="L89" s="99"/>
      <c r="M89" s="99"/>
      <c r="N89" s="65"/>
      <c r="O89" s="66" t="str">
        <f t="shared" si="1"/>
        <v/>
      </c>
      <c r="P89" s="78"/>
      <c r="Q89" s="65"/>
      <c r="R89" s="78"/>
      <c r="S89" s="54" t="str">
        <f>IF(OR(G89="",H89=""),"",IFERROR(G89*VLOOKUP(H89,Setup!$A$38:$E$52,5,FALSE),""))</f>
        <v/>
      </c>
      <c r="T89" s="54" t="str">
        <f>IF(S89="","",IFERROR(S89/VLOOKUP("EUR",Setup!$A$38:$E$52,5,FALSE),""))</f>
        <v/>
      </c>
      <c r="U89" s="54" t="str">
        <f>IF(S89="","",IFERROR(S89/VLOOKUP("USD",Setup!$A$38:$E$52,5,FALSE),""))</f>
        <v/>
      </c>
    </row>
    <row r="90" ht="24.0" customHeight="1">
      <c r="A90" s="78"/>
      <c r="B90" s="78"/>
      <c r="C90" s="78"/>
      <c r="D90" s="78"/>
      <c r="E90" s="78"/>
      <c r="F90" s="99"/>
      <c r="G90" s="104"/>
      <c r="H90" s="99"/>
      <c r="I90" s="78"/>
      <c r="J90" s="99"/>
      <c r="K90" s="99"/>
      <c r="L90" s="99"/>
      <c r="M90" s="99"/>
      <c r="N90" s="65"/>
      <c r="O90" s="66" t="str">
        <f t="shared" si="1"/>
        <v/>
      </c>
      <c r="P90" s="78"/>
      <c r="Q90" s="65"/>
      <c r="R90" s="78"/>
      <c r="S90" s="54" t="str">
        <f>IF(OR(G90="",H90=""),"",IFERROR(G90*VLOOKUP(H90,Setup!$A$38:$E$52,5,FALSE),""))</f>
        <v/>
      </c>
      <c r="T90" s="54" t="str">
        <f>IF(S90="","",IFERROR(S90/VLOOKUP("EUR",Setup!$A$38:$E$52,5,FALSE),""))</f>
        <v/>
      </c>
      <c r="U90" s="54" t="str">
        <f>IF(S90="","",IFERROR(S90/VLOOKUP("USD",Setup!$A$38:$E$52,5,FALSE),""))</f>
        <v/>
      </c>
    </row>
    <row r="91" ht="24.0" customHeight="1">
      <c r="A91" s="78"/>
      <c r="B91" s="78"/>
      <c r="C91" s="78"/>
      <c r="D91" s="78"/>
      <c r="E91" s="78"/>
      <c r="F91" s="99"/>
      <c r="G91" s="104"/>
      <c r="H91" s="99"/>
      <c r="I91" s="78"/>
      <c r="J91" s="99"/>
      <c r="K91" s="99"/>
      <c r="L91" s="99"/>
      <c r="M91" s="99"/>
      <c r="N91" s="65"/>
      <c r="O91" s="66" t="str">
        <f t="shared" si="1"/>
        <v/>
      </c>
      <c r="P91" s="78"/>
      <c r="Q91" s="65"/>
      <c r="R91" s="78"/>
      <c r="S91" s="54" t="str">
        <f>IF(OR(G91="",H91=""),"",IFERROR(G91*VLOOKUP(H91,Setup!$A$38:$E$52,5,FALSE),""))</f>
        <v/>
      </c>
      <c r="T91" s="54" t="str">
        <f>IF(S91="","",IFERROR(S91/VLOOKUP("EUR",Setup!$A$38:$E$52,5,FALSE),""))</f>
        <v/>
      </c>
      <c r="U91" s="54" t="str">
        <f>IF(S91="","",IFERROR(S91/VLOOKUP("USD",Setup!$A$38:$E$52,5,FALSE),""))</f>
        <v/>
      </c>
    </row>
    <row r="92" ht="24.0" customHeight="1">
      <c r="A92" s="78"/>
      <c r="B92" s="78"/>
      <c r="C92" s="78"/>
      <c r="D92" s="78"/>
      <c r="E92" s="78"/>
      <c r="F92" s="99"/>
      <c r="G92" s="104"/>
      <c r="H92" s="99"/>
      <c r="I92" s="78"/>
      <c r="J92" s="99"/>
      <c r="K92" s="99"/>
      <c r="L92" s="99"/>
      <c r="M92" s="99"/>
      <c r="N92" s="65"/>
      <c r="O92" s="66" t="str">
        <f t="shared" si="1"/>
        <v/>
      </c>
      <c r="P92" s="78"/>
      <c r="Q92" s="65"/>
      <c r="R92" s="78"/>
      <c r="S92" s="54" t="str">
        <f>IF(OR(G92="",H92=""),"",IFERROR(G92*VLOOKUP(H92,Setup!$A$38:$E$52,5,FALSE),""))</f>
        <v/>
      </c>
      <c r="T92" s="54" t="str">
        <f>IF(S92="","",IFERROR(S92/VLOOKUP("EUR",Setup!$A$38:$E$52,5,FALSE),""))</f>
        <v/>
      </c>
      <c r="U92" s="54" t="str">
        <f>IF(S92="","",IFERROR(S92/VLOOKUP("USD",Setup!$A$38:$E$52,5,FALSE),""))</f>
        <v/>
      </c>
    </row>
    <row r="93" ht="24.0" customHeight="1">
      <c r="A93" s="78"/>
      <c r="B93" s="78"/>
      <c r="C93" s="78"/>
      <c r="D93" s="78"/>
      <c r="E93" s="78"/>
      <c r="F93" s="99"/>
      <c r="G93" s="104"/>
      <c r="H93" s="99"/>
      <c r="I93" s="78"/>
      <c r="J93" s="99"/>
      <c r="K93" s="99"/>
      <c r="L93" s="99"/>
      <c r="M93" s="99"/>
      <c r="N93" s="65"/>
      <c r="O93" s="66" t="str">
        <f t="shared" si="1"/>
        <v/>
      </c>
      <c r="P93" s="78"/>
      <c r="Q93" s="65"/>
      <c r="R93" s="78"/>
      <c r="S93" s="54" t="str">
        <f>IF(OR(G93="",H93=""),"",IFERROR(G93*VLOOKUP(H93,Setup!$A$38:$E$52,5,FALSE),""))</f>
        <v/>
      </c>
      <c r="T93" s="54" t="str">
        <f>IF(S93="","",IFERROR(S93/VLOOKUP("EUR",Setup!$A$38:$E$52,5,FALSE),""))</f>
        <v/>
      </c>
      <c r="U93" s="54" t="str">
        <f>IF(S93="","",IFERROR(S93/VLOOKUP("USD",Setup!$A$38:$E$52,5,FALSE),""))</f>
        <v/>
      </c>
    </row>
    <row r="94" ht="24.0" customHeight="1">
      <c r="A94" s="78"/>
      <c r="B94" s="78"/>
      <c r="C94" s="78"/>
      <c r="D94" s="78"/>
      <c r="E94" s="78"/>
      <c r="F94" s="99"/>
      <c r="G94" s="104"/>
      <c r="H94" s="99"/>
      <c r="I94" s="78"/>
      <c r="J94" s="99"/>
      <c r="K94" s="99"/>
      <c r="L94" s="99"/>
      <c r="M94" s="99"/>
      <c r="N94" s="65"/>
      <c r="O94" s="66" t="str">
        <f t="shared" si="1"/>
        <v/>
      </c>
      <c r="P94" s="78"/>
      <c r="Q94" s="65"/>
      <c r="R94" s="78"/>
      <c r="S94" s="54" t="str">
        <f>IF(OR(G94="",H94=""),"",IFERROR(G94*VLOOKUP(H94,Setup!$A$38:$E$52,5,FALSE),""))</f>
        <v/>
      </c>
      <c r="T94" s="54" t="str">
        <f>IF(S94="","",IFERROR(S94/VLOOKUP("EUR",Setup!$A$38:$E$52,5,FALSE),""))</f>
        <v/>
      </c>
      <c r="U94" s="54" t="str">
        <f>IF(S94="","",IFERROR(S94/VLOOKUP("USD",Setup!$A$38:$E$52,5,FALSE),""))</f>
        <v/>
      </c>
    </row>
    <row r="95" ht="24.0" customHeight="1">
      <c r="A95" s="78"/>
      <c r="B95" s="78"/>
      <c r="C95" s="78"/>
      <c r="D95" s="78"/>
      <c r="E95" s="78"/>
      <c r="F95" s="99"/>
      <c r="G95" s="104"/>
      <c r="H95" s="99"/>
      <c r="I95" s="78"/>
      <c r="J95" s="99"/>
      <c r="K95" s="99"/>
      <c r="L95" s="99"/>
      <c r="M95" s="99"/>
      <c r="N95" s="65"/>
      <c r="O95" s="66" t="str">
        <f t="shared" si="1"/>
        <v/>
      </c>
      <c r="P95" s="78"/>
      <c r="Q95" s="65"/>
      <c r="R95" s="78"/>
      <c r="S95" s="54" t="str">
        <f>IF(OR(G95="",H95=""),"",IFERROR(G95*VLOOKUP(H95,Setup!$A$38:$E$52,5,FALSE),""))</f>
        <v/>
      </c>
      <c r="T95" s="54" t="str">
        <f>IF(S95="","",IFERROR(S95/VLOOKUP("EUR",Setup!$A$38:$E$52,5,FALSE),""))</f>
        <v/>
      </c>
      <c r="U95" s="54" t="str">
        <f>IF(S95="","",IFERROR(S95/VLOOKUP("USD",Setup!$A$38:$E$52,5,FALSE),""))</f>
        <v/>
      </c>
    </row>
    <row r="96" ht="24.0" customHeight="1">
      <c r="A96" s="78"/>
      <c r="B96" s="78"/>
      <c r="C96" s="78"/>
      <c r="D96" s="78"/>
      <c r="E96" s="78"/>
      <c r="F96" s="99"/>
      <c r="G96" s="104"/>
      <c r="H96" s="99"/>
      <c r="I96" s="78"/>
      <c r="J96" s="99"/>
      <c r="K96" s="99"/>
      <c r="L96" s="99"/>
      <c r="M96" s="99"/>
      <c r="N96" s="65"/>
      <c r="O96" s="66" t="str">
        <f t="shared" si="1"/>
        <v/>
      </c>
      <c r="P96" s="78"/>
      <c r="Q96" s="65"/>
      <c r="R96" s="78"/>
      <c r="S96" s="54" t="str">
        <f>IF(OR(G96="",H96=""),"",IFERROR(G96*VLOOKUP(H96,Setup!$A$38:$E$52,5,FALSE),""))</f>
        <v/>
      </c>
      <c r="T96" s="54" t="str">
        <f>IF(S96="","",IFERROR(S96/VLOOKUP("EUR",Setup!$A$38:$E$52,5,FALSE),""))</f>
        <v/>
      </c>
      <c r="U96" s="54" t="str">
        <f>IF(S96="","",IFERROR(S96/VLOOKUP("USD",Setup!$A$38:$E$52,5,FALSE),""))</f>
        <v/>
      </c>
    </row>
    <row r="97" ht="24.0" customHeight="1">
      <c r="A97" s="78"/>
      <c r="B97" s="78"/>
      <c r="C97" s="78"/>
      <c r="D97" s="78"/>
      <c r="E97" s="78"/>
      <c r="F97" s="99"/>
      <c r="G97" s="104"/>
      <c r="H97" s="99"/>
      <c r="I97" s="78"/>
      <c r="J97" s="99"/>
      <c r="K97" s="99"/>
      <c r="L97" s="99"/>
      <c r="M97" s="99"/>
      <c r="N97" s="65"/>
      <c r="O97" s="66" t="str">
        <f t="shared" si="1"/>
        <v/>
      </c>
      <c r="P97" s="78"/>
      <c r="Q97" s="65"/>
      <c r="R97" s="78"/>
      <c r="S97" s="54" t="str">
        <f>IF(OR(G97="",H97=""),"",IFERROR(G97*VLOOKUP(H97,Setup!$A$38:$E$52,5,FALSE),""))</f>
        <v/>
      </c>
      <c r="T97" s="54" t="str">
        <f>IF(S97="","",IFERROR(S97/VLOOKUP("EUR",Setup!$A$38:$E$52,5,FALSE),""))</f>
        <v/>
      </c>
      <c r="U97" s="54" t="str">
        <f>IF(S97="","",IFERROR(S97/VLOOKUP("USD",Setup!$A$38:$E$52,5,FALSE),""))</f>
        <v/>
      </c>
    </row>
    <row r="98" ht="24.0" customHeight="1">
      <c r="A98" s="78"/>
      <c r="B98" s="78"/>
      <c r="C98" s="78"/>
      <c r="D98" s="78"/>
      <c r="E98" s="78"/>
      <c r="F98" s="99"/>
      <c r="G98" s="104"/>
      <c r="H98" s="99"/>
      <c r="I98" s="78"/>
      <c r="J98" s="99"/>
      <c r="K98" s="99"/>
      <c r="L98" s="99"/>
      <c r="M98" s="99"/>
      <c r="N98" s="65"/>
      <c r="O98" s="66" t="str">
        <f t="shared" si="1"/>
        <v/>
      </c>
      <c r="P98" s="78"/>
      <c r="Q98" s="65"/>
      <c r="R98" s="78"/>
      <c r="S98" s="54" t="str">
        <f>IF(OR(G98="",H98=""),"",IFERROR(G98*VLOOKUP(H98,Setup!$A$38:$E$52,5,FALSE),""))</f>
        <v/>
      </c>
      <c r="T98" s="54" t="str">
        <f>IF(S98="","",IFERROR(S98/VLOOKUP("EUR",Setup!$A$38:$E$52,5,FALSE),""))</f>
        <v/>
      </c>
      <c r="U98" s="54" t="str">
        <f>IF(S98="","",IFERROR(S98/VLOOKUP("USD",Setup!$A$38:$E$52,5,FALSE),""))</f>
        <v/>
      </c>
    </row>
    <row r="99" ht="24.0" customHeight="1">
      <c r="A99" s="78"/>
      <c r="B99" s="78"/>
      <c r="C99" s="78"/>
      <c r="D99" s="78"/>
      <c r="E99" s="78"/>
      <c r="F99" s="99"/>
      <c r="G99" s="104"/>
      <c r="H99" s="99"/>
      <c r="I99" s="78"/>
      <c r="J99" s="99"/>
      <c r="K99" s="99"/>
      <c r="L99" s="99"/>
      <c r="M99" s="99"/>
      <c r="N99" s="65"/>
      <c r="O99" s="66" t="str">
        <f t="shared" si="1"/>
        <v/>
      </c>
      <c r="P99" s="78"/>
      <c r="Q99" s="65"/>
      <c r="R99" s="78"/>
      <c r="S99" s="54" t="str">
        <f>IF(OR(G99="",H99=""),"",IFERROR(G99*VLOOKUP(H99,Setup!$A$38:$E$52,5,FALSE),""))</f>
        <v/>
      </c>
      <c r="T99" s="54" t="str">
        <f>IF(S99="","",IFERROR(S99/VLOOKUP("EUR",Setup!$A$38:$E$52,5,FALSE),""))</f>
        <v/>
      </c>
      <c r="U99" s="54" t="str">
        <f>IF(S99="","",IFERROR(S99/VLOOKUP("USD",Setup!$A$38:$E$52,5,FALSE),""))</f>
        <v/>
      </c>
    </row>
    <row r="100" ht="24.0" customHeight="1">
      <c r="A100" s="78"/>
      <c r="B100" s="78"/>
      <c r="C100" s="78"/>
      <c r="D100" s="78"/>
      <c r="E100" s="78"/>
      <c r="F100" s="99"/>
      <c r="G100" s="104"/>
      <c r="H100" s="99"/>
      <c r="I100" s="78"/>
      <c r="J100" s="99"/>
      <c r="K100" s="99"/>
      <c r="L100" s="99"/>
      <c r="M100" s="99"/>
      <c r="N100" s="65"/>
      <c r="O100" s="66" t="str">
        <f t="shared" si="1"/>
        <v/>
      </c>
      <c r="P100" s="78"/>
      <c r="Q100" s="65"/>
      <c r="R100" s="78"/>
      <c r="S100" s="54" t="str">
        <f>IF(OR(G100="",H100=""),"",IFERROR(G100*VLOOKUP(H100,Setup!$A$38:$E$52,5,FALSE),""))</f>
        <v/>
      </c>
      <c r="T100" s="54" t="str">
        <f>IF(S100="","",IFERROR(S100/VLOOKUP("EUR",Setup!$A$38:$E$52,5,FALSE),""))</f>
        <v/>
      </c>
      <c r="U100" s="54" t="str">
        <f>IF(S100="","",IFERROR(S100/VLOOKUP("USD",Setup!$A$38:$E$52,5,FALSE),""))</f>
        <v/>
      </c>
    </row>
    <row r="101" ht="24.0" customHeight="1">
      <c r="A101" s="78"/>
      <c r="B101" s="78"/>
      <c r="C101" s="78"/>
      <c r="D101" s="78"/>
      <c r="E101" s="78"/>
      <c r="F101" s="99"/>
      <c r="G101" s="104"/>
      <c r="H101" s="99"/>
      <c r="I101" s="78"/>
      <c r="J101" s="99"/>
      <c r="K101" s="99"/>
      <c r="L101" s="99"/>
      <c r="M101" s="99"/>
      <c r="N101" s="65"/>
      <c r="O101" s="66" t="str">
        <f t="shared" si="1"/>
        <v/>
      </c>
      <c r="P101" s="78"/>
      <c r="Q101" s="65"/>
      <c r="R101" s="78"/>
      <c r="S101" s="54" t="str">
        <f>IF(OR(G101="",H101=""),"",IFERROR(G101*VLOOKUP(H101,Setup!$A$38:$E$52,5,FALSE),""))</f>
        <v/>
      </c>
      <c r="T101" s="54" t="str">
        <f>IF(S101="","",IFERROR(S101/VLOOKUP("EUR",Setup!$A$38:$E$52,5,FALSE),""))</f>
        <v/>
      </c>
      <c r="U101" s="54" t="str">
        <f>IF(S101="","",IFERROR(S101/VLOOKUP("USD",Setup!$A$38:$E$52,5,FALSE),""))</f>
        <v/>
      </c>
    </row>
    <row r="102" ht="24.0" customHeight="1">
      <c r="A102" s="78"/>
      <c r="B102" s="78"/>
      <c r="C102" s="78"/>
      <c r="D102" s="78"/>
      <c r="E102" s="78"/>
      <c r="F102" s="99"/>
      <c r="G102" s="104"/>
      <c r="H102" s="99"/>
      <c r="I102" s="78"/>
      <c r="J102" s="99"/>
      <c r="K102" s="99"/>
      <c r="L102" s="99"/>
      <c r="M102" s="99"/>
      <c r="N102" s="65"/>
      <c r="O102" s="66" t="str">
        <f t="shared" si="1"/>
        <v/>
      </c>
      <c r="P102" s="78"/>
      <c r="Q102" s="65"/>
      <c r="R102" s="78"/>
      <c r="S102" s="54" t="str">
        <f>IF(OR(G102="",H102=""),"",IFERROR(G102*VLOOKUP(H102,Setup!$A$38:$E$52,5,FALSE),""))</f>
        <v/>
      </c>
      <c r="T102" s="54" t="str">
        <f>IF(S102="","",IFERROR(S102/VLOOKUP("EUR",Setup!$A$38:$E$52,5,FALSE),""))</f>
        <v/>
      </c>
      <c r="U102" s="54" t="str">
        <f>IF(S102="","",IFERROR(S102/VLOOKUP("USD",Setup!$A$38:$E$52,5,FALSE),""))</f>
        <v/>
      </c>
    </row>
    <row r="103" ht="24.0" customHeight="1">
      <c r="A103" s="78"/>
      <c r="B103" s="78"/>
      <c r="C103" s="78"/>
      <c r="D103" s="78"/>
      <c r="E103" s="78"/>
      <c r="F103" s="99"/>
      <c r="G103" s="104"/>
      <c r="H103" s="99"/>
      <c r="I103" s="78"/>
      <c r="J103" s="99"/>
      <c r="K103" s="99"/>
      <c r="L103" s="99"/>
      <c r="M103" s="99"/>
      <c r="N103" s="65"/>
      <c r="O103" s="66" t="str">
        <f t="shared" si="1"/>
        <v/>
      </c>
      <c r="P103" s="78"/>
      <c r="Q103" s="65"/>
      <c r="R103" s="78"/>
      <c r="S103" s="54" t="str">
        <f>IF(OR(G103="",H103=""),"",IFERROR(G103*VLOOKUP(H103,Setup!$A$38:$E$52,5,FALSE),""))</f>
        <v/>
      </c>
      <c r="T103" s="54" t="str">
        <f>IF(S103="","",IFERROR(S103/VLOOKUP("EUR",Setup!$A$38:$E$52,5,FALSE),""))</f>
        <v/>
      </c>
      <c r="U103" s="54" t="str">
        <f>IF(S103="","",IFERROR(S103/VLOOKUP("USD",Setup!$A$38:$E$52,5,FALSE),""))</f>
        <v/>
      </c>
    </row>
    <row r="104" ht="24.0" customHeight="1">
      <c r="A104" s="78"/>
      <c r="B104" s="78"/>
      <c r="C104" s="78"/>
      <c r="D104" s="78"/>
      <c r="E104" s="78"/>
      <c r="F104" s="99"/>
      <c r="G104" s="104"/>
      <c r="H104" s="99"/>
      <c r="I104" s="78"/>
      <c r="J104" s="99"/>
      <c r="K104" s="99"/>
      <c r="L104" s="99"/>
      <c r="M104" s="99"/>
      <c r="N104" s="65"/>
      <c r="O104" s="66" t="str">
        <f t="shared" si="1"/>
        <v/>
      </c>
      <c r="P104" s="78"/>
      <c r="Q104" s="65"/>
      <c r="R104" s="78"/>
      <c r="S104" s="54" t="str">
        <f>IF(OR(G104="",H104=""),"",IFERROR(G104*VLOOKUP(H104,Setup!$A$38:$E$52,5,FALSE),""))</f>
        <v/>
      </c>
      <c r="T104" s="54" t="str">
        <f>IF(S104="","",IFERROR(S104/VLOOKUP("EUR",Setup!$A$38:$E$52,5,FALSE),""))</f>
        <v/>
      </c>
      <c r="U104" s="54" t="str">
        <f>IF(S104="","",IFERROR(S104/VLOOKUP("USD",Setup!$A$38:$E$52,5,FALSE),""))</f>
        <v/>
      </c>
    </row>
    <row r="105" ht="24.0" customHeight="1">
      <c r="A105" s="78"/>
      <c r="B105" s="78"/>
      <c r="C105" s="78"/>
      <c r="D105" s="78"/>
      <c r="E105" s="78"/>
      <c r="F105" s="99"/>
      <c r="G105" s="104"/>
      <c r="H105" s="99"/>
      <c r="I105" s="78"/>
      <c r="J105" s="99"/>
      <c r="K105" s="99"/>
      <c r="L105" s="99"/>
      <c r="M105" s="99"/>
      <c r="N105" s="65"/>
      <c r="O105" s="66" t="str">
        <f t="shared" si="1"/>
        <v/>
      </c>
      <c r="P105" s="78"/>
      <c r="Q105" s="65"/>
      <c r="R105" s="78"/>
      <c r="S105" s="54" t="str">
        <f>IF(OR(G105="",H105=""),"",IFERROR(G105*VLOOKUP(H105,Setup!$A$38:$E$52,5,FALSE),""))</f>
        <v/>
      </c>
      <c r="T105" s="54" t="str">
        <f>IF(S105="","",IFERROR(S105/VLOOKUP("EUR",Setup!$A$38:$E$52,5,FALSE),""))</f>
        <v/>
      </c>
      <c r="U105" s="54" t="str">
        <f>IF(S105="","",IFERROR(S105/VLOOKUP("USD",Setup!$A$38:$E$52,5,FALSE),""))</f>
        <v/>
      </c>
    </row>
    <row r="106" ht="24.0" customHeight="1">
      <c r="A106" s="78"/>
      <c r="B106" s="78"/>
      <c r="C106" s="78"/>
      <c r="D106" s="78"/>
      <c r="E106" s="78"/>
      <c r="F106" s="99"/>
      <c r="G106" s="104"/>
      <c r="H106" s="99"/>
      <c r="I106" s="78"/>
      <c r="J106" s="99"/>
      <c r="K106" s="99"/>
      <c r="L106" s="99"/>
      <c r="M106" s="99"/>
      <c r="N106" s="65"/>
      <c r="O106" s="66" t="str">
        <f t="shared" si="1"/>
        <v/>
      </c>
      <c r="P106" s="78"/>
      <c r="Q106" s="65"/>
      <c r="R106" s="78"/>
      <c r="S106" s="54" t="str">
        <f>IF(OR(G106="",H106=""),"",IFERROR(G106*VLOOKUP(H106,Setup!$A$38:$E$52,5,FALSE),""))</f>
        <v/>
      </c>
      <c r="T106" s="54" t="str">
        <f>IF(S106="","",IFERROR(S106/VLOOKUP("EUR",Setup!$A$38:$E$52,5,FALSE),""))</f>
        <v/>
      </c>
      <c r="U106" s="54" t="str">
        <f>IF(S106="","",IFERROR(S106/VLOOKUP("USD",Setup!$A$38:$E$52,5,FALSE),""))</f>
        <v/>
      </c>
    </row>
    <row r="107" ht="24.0" customHeight="1">
      <c r="A107" s="78"/>
      <c r="B107" s="78"/>
      <c r="C107" s="78"/>
      <c r="D107" s="78"/>
      <c r="E107" s="78"/>
      <c r="F107" s="99"/>
      <c r="G107" s="104"/>
      <c r="H107" s="99"/>
      <c r="I107" s="78"/>
      <c r="J107" s="99"/>
      <c r="K107" s="99"/>
      <c r="L107" s="99"/>
      <c r="M107" s="99"/>
      <c r="N107" s="65"/>
      <c r="O107" s="66" t="str">
        <f t="shared" si="1"/>
        <v/>
      </c>
      <c r="P107" s="78"/>
      <c r="Q107" s="65"/>
      <c r="R107" s="78"/>
      <c r="S107" s="54" t="str">
        <f>IF(OR(G107="",H107=""),"",IFERROR(G107*VLOOKUP(H107,Setup!$A$38:$E$52,5,FALSE),""))</f>
        <v/>
      </c>
      <c r="T107" s="54" t="str">
        <f>IF(S107="","",IFERROR(S107/VLOOKUP("EUR",Setup!$A$38:$E$52,5,FALSE),""))</f>
        <v/>
      </c>
      <c r="U107" s="54" t="str">
        <f>IF(S107="","",IFERROR(S107/VLOOKUP("USD",Setup!$A$38:$E$52,5,FALSE),""))</f>
        <v/>
      </c>
    </row>
    <row r="108" ht="24.0" customHeight="1">
      <c r="A108" s="78"/>
      <c r="B108" s="78"/>
      <c r="C108" s="78"/>
      <c r="D108" s="78"/>
      <c r="E108" s="78"/>
      <c r="F108" s="99"/>
      <c r="G108" s="104"/>
      <c r="H108" s="99"/>
      <c r="I108" s="78"/>
      <c r="J108" s="99"/>
      <c r="K108" s="99"/>
      <c r="L108" s="99"/>
      <c r="M108" s="99"/>
      <c r="N108" s="65"/>
      <c r="O108" s="66" t="str">
        <f t="shared" si="1"/>
        <v/>
      </c>
      <c r="P108" s="78"/>
      <c r="Q108" s="65"/>
      <c r="R108" s="78"/>
      <c r="S108" s="54" t="str">
        <f>IF(OR(G108="",H108=""),"",IFERROR(G108*VLOOKUP(H108,Setup!$A$38:$E$52,5,FALSE),""))</f>
        <v/>
      </c>
      <c r="T108" s="54" t="str">
        <f>IF(S108="","",IFERROR(S108/VLOOKUP("EUR",Setup!$A$38:$E$52,5,FALSE),""))</f>
        <v/>
      </c>
      <c r="U108" s="54" t="str">
        <f>IF(S108="","",IFERROR(S108/VLOOKUP("USD",Setup!$A$38:$E$52,5,FALSE),""))</f>
        <v/>
      </c>
    </row>
    <row r="109" ht="24.0" customHeight="1">
      <c r="A109" s="78"/>
      <c r="B109" s="78"/>
      <c r="C109" s="78"/>
      <c r="D109" s="78"/>
      <c r="E109" s="78"/>
      <c r="F109" s="99"/>
      <c r="G109" s="104"/>
      <c r="H109" s="99"/>
      <c r="I109" s="78"/>
      <c r="J109" s="99"/>
      <c r="K109" s="99"/>
      <c r="L109" s="99"/>
      <c r="M109" s="99"/>
      <c r="N109" s="65"/>
      <c r="O109" s="66" t="str">
        <f t="shared" si="1"/>
        <v/>
      </c>
      <c r="P109" s="78"/>
      <c r="Q109" s="65"/>
      <c r="R109" s="78"/>
      <c r="S109" s="54" t="str">
        <f>IF(OR(G109="",H109=""),"",IFERROR(G109*VLOOKUP(H109,Setup!$A$38:$E$52,5,FALSE),""))</f>
        <v/>
      </c>
      <c r="T109" s="54" t="str">
        <f>IF(S109="","",IFERROR(S109/VLOOKUP("EUR",Setup!$A$38:$E$52,5,FALSE),""))</f>
        <v/>
      </c>
      <c r="U109" s="54" t="str">
        <f>IF(S109="","",IFERROR(S109/VLOOKUP("USD",Setup!$A$38:$E$52,5,FALSE),""))</f>
        <v/>
      </c>
    </row>
    <row r="110" ht="24.0" customHeight="1">
      <c r="A110" s="78"/>
      <c r="B110" s="78"/>
      <c r="C110" s="78"/>
      <c r="D110" s="78"/>
      <c r="E110" s="78"/>
      <c r="F110" s="99"/>
      <c r="G110" s="104"/>
      <c r="H110" s="99"/>
      <c r="I110" s="78"/>
      <c r="J110" s="99"/>
      <c r="K110" s="99"/>
      <c r="L110" s="99"/>
      <c r="M110" s="99"/>
      <c r="N110" s="65"/>
      <c r="O110" s="66" t="str">
        <f t="shared" si="1"/>
        <v/>
      </c>
      <c r="P110" s="78"/>
      <c r="Q110" s="65"/>
      <c r="R110" s="78"/>
      <c r="S110" s="54" t="str">
        <f>IF(OR(G110="",H110=""),"",IFERROR(G110*VLOOKUP(H110,Setup!$A$38:$E$52,5,FALSE),""))</f>
        <v/>
      </c>
      <c r="T110" s="54" t="str">
        <f>IF(S110="","",IFERROR(S110/VLOOKUP("EUR",Setup!$A$38:$E$52,5,FALSE),""))</f>
        <v/>
      </c>
      <c r="U110" s="54" t="str">
        <f>IF(S110="","",IFERROR(S110/VLOOKUP("USD",Setup!$A$38:$E$52,5,FALSE),""))</f>
        <v/>
      </c>
    </row>
    <row r="111" ht="24.0" customHeight="1">
      <c r="A111" s="78"/>
      <c r="B111" s="78"/>
      <c r="C111" s="78"/>
      <c r="D111" s="78"/>
      <c r="E111" s="78"/>
      <c r="F111" s="99"/>
      <c r="G111" s="104"/>
      <c r="H111" s="99"/>
      <c r="I111" s="78"/>
      <c r="J111" s="99"/>
      <c r="K111" s="99"/>
      <c r="L111" s="99"/>
      <c r="M111" s="99"/>
      <c r="N111" s="65"/>
      <c r="O111" s="66" t="str">
        <f t="shared" si="1"/>
        <v/>
      </c>
      <c r="P111" s="78"/>
      <c r="Q111" s="65"/>
      <c r="R111" s="78"/>
      <c r="S111" s="54" t="str">
        <f>IF(OR(G111="",H111=""),"",IFERROR(G111*VLOOKUP(H111,Setup!$A$38:$E$52,5,FALSE),""))</f>
        <v/>
      </c>
      <c r="T111" s="54" t="str">
        <f>IF(S111="","",IFERROR(S111/VLOOKUP("EUR",Setup!$A$38:$E$52,5,FALSE),""))</f>
        <v/>
      </c>
      <c r="U111" s="54" t="str">
        <f>IF(S111="","",IFERROR(S111/VLOOKUP("USD",Setup!$A$38:$E$52,5,FALSE),""))</f>
        <v/>
      </c>
    </row>
    <row r="112" ht="24.0" customHeight="1">
      <c r="A112" s="78"/>
      <c r="B112" s="78"/>
      <c r="C112" s="78"/>
      <c r="D112" s="78"/>
      <c r="E112" s="78"/>
      <c r="F112" s="99"/>
      <c r="G112" s="104"/>
      <c r="H112" s="99"/>
      <c r="I112" s="78"/>
      <c r="J112" s="99"/>
      <c r="K112" s="99"/>
      <c r="L112" s="99"/>
      <c r="M112" s="99"/>
      <c r="N112" s="65"/>
      <c r="O112" s="66" t="str">
        <f t="shared" si="1"/>
        <v/>
      </c>
      <c r="P112" s="78"/>
      <c r="Q112" s="65"/>
      <c r="R112" s="78"/>
      <c r="S112" s="54" t="str">
        <f>IF(OR(G112="",H112=""),"",IFERROR(G112*VLOOKUP(H112,Setup!$A$38:$E$52,5,FALSE),""))</f>
        <v/>
      </c>
      <c r="T112" s="54" t="str">
        <f>IF(S112="","",IFERROR(S112/VLOOKUP("EUR",Setup!$A$38:$E$52,5,FALSE),""))</f>
        <v/>
      </c>
      <c r="U112" s="54" t="str">
        <f>IF(S112="","",IFERROR(S112/VLOOKUP("USD",Setup!$A$38:$E$52,5,FALSE),""))</f>
        <v/>
      </c>
    </row>
    <row r="113" ht="24.0" customHeight="1">
      <c r="A113" s="78"/>
      <c r="B113" s="78"/>
      <c r="C113" s="78"/>
      <c r="D113" s="78"/>
      <c r="E113" s="78"/>
      <c r="F113" s="99"/>
      <c r="G113" s="104"/>
      <c r="H113" s="99"/>
      <c r="I113" s="78"/>
      <c r="J113" s="99"/>
      <c r="K113" s="99"/>
      <c r="L113" s="99"/>
      <c r="M113" s="99"/>
      <c r="N113" s="65"/>
      <c r="O113" s="66" t="str">
        <f t="shared" si="1"/>
        <v/>
      </c>
      <c r="P113" s="78"/>
      <c r="Q113" s="65"/>
      <c r="R113" s="78"/>
      <c r="S113" s="54" t="str">
        <f>IF(OR(G113="",H113=""),"",IFERROR(G113*VLOOKUP(H113,Setup!$A$38:$E$52,5,FALSE),""))</f>
        <v/>
      </c>
      <c r="T113" s="54" t="str">
        <f>IF(S113="","",IFERROR(S113/VLOOKUP("EUR",Setup!$A$38:$E$52,5,FALSE),""))</f>
        <v/>
      </c>
      <c r="U113" s="54" t="str">
        <f>IF(S113="","",IFERROR(S113/VLOOKUP("USD",Setup!$A$38:$E$52,5,FALSE),""))</f>
        <v/>
      </c>
    </row>
    <row r="114" ht="24.0" customHeight="1">
      <c r="A114" s="78"/>
      <c r="B114" s="78"/>
      <c r="C114" s="78"/>
      <c r="D114" s="78"/>
      <c r="E114" s="78"/>
      <c r="F114" s="99"/>
      <c r="G114" s="104"/>
      <c r="H114" s="99"/>
      <c r="I114" s="78"/>
      <c r="J114" s="99"/>
      <c r="K114" s="99"/>
      <c r="L114" s="99"/>
      <c r="M114" s="99"/>
      <c r="N114" s="65"/>
      <c r="O114" s="66" t="str">
        <f t="shared" si="1"/>
        <v/>
      </c>
      <c r="P114" s="78"/>
      <c r="Q114" s="65"/>
      <c r="R114" s="78"/>
      <c r="S114" s="54" t="str">
        <f>IF(OR(G114="",H114=""),"",IFERROR(G114*VLOOKUP(H114,Setup!$A$38:$E$52,5,FALSE),""))</f>
        <v/>
      </c>
      <c r="T114" s="54" t="str">
        <f>IF(S114="","",IFERROR(S114/VLOOKUP("EUR",Setup!$A$38:$E$52,5,FALSE),""))</f>
        <v/>
      </c>
      <c r="U114" s="54" t="str">
        <f>IF(S114="","",IFERROR(S114/VLOOKUP("USD",Setup!$A$38:$E$52,5,FALSE),""))</f>
        <v/>
      </c>
    </row>
    <row r="115" ht="24.0" customHeight="1">
      <c r="A115" s="78"/>
      <c r="B115" s="78"/>
      <c r="C115" s="78"/>
      <c r="D115" s="78"/>
      <c r="E115" s="78"/>
      <c r="F115" s="99"/>
      <c r="G115" s="104"/>
      <c r="H115" s="99"/>
      <c r="I115" s="78"/>
      <c r="J115" s="99"/>
      <c r="K115" s="99"/>
      <c r="L115" s="99"/>
      <c r="M115" s="99"/>
      <c r="N115" s="65"/>
      <c r="O115" s="66" t="str">
        <f t="shared" si="1"/>
        <v/>
      </c>
      <c r="P115" s="78"/>
      <c r="Q115" s="65"/>
      <c r="R115" s="78"/>
      <c r="S115" s="54" t="str">
        <f>IF(OR(G115="",H115=""),"",IFERROR(G115*VLOOKUP(H115,Setup!$A$38:$E$52,5,FALSE),""))</f>
        <v/>
      </c>
      <c r="T115" s="54" t="str">
        <f>IF(S115="","",IFERROR(S115/VLOOKUP("EUR",Setup!$A$38:$E$52,5,FALSE),""))</f>
        <v/>
      </c>
      <c r="U115" s="54" t="str">
        <f>IF(S115="","",IFERROR(S115/VLOOKUP("USD",Setup!$A$38:$E$52,5,FALSE),""))</f>
        <v/>
      </c>
    </row>
    <row r="116" ht="24.0" customHeight="1">
      <c r="A116" s="78"/>
      <c r="B116" s="78"/>
      <c r="C116" s="78"/>
      <c r="D116" s="78"/>
      <c r="E116" s="78"/>
      <c r="F116" s="99"/>
      <c r="G116" s="104"/>
      <c r="H116" s="99"/>
      <c r="I116" s="78"/>
      <c r="J116" s="99"/>
      <c r="K116" s="99"/>
      <c r="L116" s="99"/>
      <c r="M116" s="99"/>
      <c r="N116" s="65"/>
      <c r="O116" s="66" t="str">
        <f t="shared" si="1"/>
        <v/>
      </c>
      <c r="P116" s="78"/>
      <c r="Q116" s="65"/>
      <c r="R116" s="78"/>
      <c r="S116" s="54" t="str">
        <f>IF(OR(G116="",H116=""),"",IFERROR(G116*VLOOKUP(H116,Setup!$A$38:$E$52,5,FALSE),""))</f>
        <v/>
      </c>
      <c r="T116" s="54" t="str">
        <f>IF(S116="","",IFERROR(S116/VLOOKUP("EUR",Setup!$A$38:$E$52,5,FALSE),""))</f>
        <v/>
      </c>
      <c r="U116" s="54" t="str">
        <f>IF(S116="","",IFERROR(S116/VLOOKUP("USD",Setup!$A$38:$E$52,5,FALSE),""))</f>
        <v/>
      </c>
    </row>
    <row r="117" ht="24.0" customHeight="1">
      <c r="A117" s="78"/>
      <c r="B117" s="78"/>
      <c r="C117" s="78"/>
      <c r="D117" s="78"/>
      <c r="E117" s="78"/>
      <c r="F117" s="99"/>
      <c r="G117" s="104"/>
      <c r="H117" s="99"/>
      <c r="I117" s="78"/>
      <c r="J117" s="99"/>
      <c r="K117" s="99"/>
      <c r="L117" s="99"/>
      <c r="M117" s="99"/>
      <c r="N117" s="65"/>
      <c r="O117" s="66" t="str">
        <f t="shared" si="1"/>
        <v/>
      </c>
      <c r="P117" s="78"/>
      <c r="Q117" s="65"/>
      <c r="R117" s="78"/>
      <c r="S117" s="54" t="str">
        <f>IF(OR(G117="",H117=""),"",IFERROR(G117*VLOOKUP(H117,Setup!$A$38:$E$52,5,FALSE),""))</f>
        <v/>
      </c>
      <c r="T117" s="54" t="str">
        <f>IF(S117="","",IFERROR(S117/VLOOKUP("EUR",Setup!$A$38:$E$52,5,FALSE),""))</f>
        <v/>
      </c>
      <c r="U117" s="54" t="str">
        <f>IF(S117="","",IFERROR(S117/VLOOKUP("USD",Setup!$A$38:$E$52,5,FALSE),""))</f>
        <v/>
      </c>
    </row>
    <row r="118" ht="24.0" customHeight="1">
      <c r="A118" s="78"/>
      <c r="B118" s="78"/>
      <c r="C118" s="78"/>
      <c r="D118" s="78"/>
      <c r="E118" s="78"/>
      <c r="F118" s="99"/>
      <c r="G118" s="104"/>
      <c r="H118" s="99"/>
      <c r="I118" s="78"/>
      <c r="J118" s="99"/>
      <c r="K118" s="99"/>
      <c r="L118" s="99"/>
      <c r="M118" s="99"/>
      <c r="N118" s="65"/>
      <c r="O118" s="66" t="str">
        <f t="shared" si="1"/>
        <v/>
      </c>
      <c r="P118" s="78"/>
      <c r="Q118" s="65"/>
      <c r="R118" s="78"/>
      <c r="S118" s="54" t="str">
        <f>IF(OR(G118="",H118=""),"",IFERROR(G118*VLOOKUP(H118,Setup!$A$38:$E$52,5,FALSE),""))</f>
        <v/>
      </c>
      <c r="T118" s="54" t="str">
        <f>IF(S118="","",IFERROR(S118/VLOOKUP("EUR",Setup!$A$38:$E$52,5,FALSE),""))</f>
        <v/>
      </c>
      <c r="U118" s="54" t="str">
        <f>IF(S118="","",IFERROR(S118/VLOOKUP("USD",Setup!$A$38:$E$52,5,FALSE),""))</f>
        <v/>
      </c>
    </row>
    <row r="119" ht="24.0" customHeight="1">
      <c r="A119" s="78"/>
      <c r="B119" s="78"/>
      <c r="C119" s="78"/>
      <c r="D119" s="78"/>
      <c r="E119" s="78"/>
      <c r="F119" s="99"/>
      <c r="G119" s="104"/>
      <c r="H119" s="99"/>
      <c r="I119" s="78"/>
      <c r="J119" s="99"/>
      <c r="K119" s="99"/>
      <c r="L119" s="99"/>
      <c r="M119" s="99"/>
      <c r="N119" s="65"/>
      <c r="O119" s="66" t="str">
        <f t="shared" si="1"/>
        <v/>
      </c>
      <c r="P119" s="78"/>
      <c r="Q119" s="65"/>
      <c r="R119" s="78"/>
      <c r="S119" s="54" t="str">
        <f>IF(OR(G119="",H119=""),"",IFERROR(G119*VLOOKUP(H119,Setup!$A$38:$E$52,5,FALSE),""))</f>
        <v/>
      </c>
      <c r="T119" s="54" t="str">
        <f>IF(S119="","",IFERROR(S119/VLOOKUP("EUR",Setup!$A$38:$E$52,5,FALSE),""))</f>
        <v/>
      </c>
      <c r="U119" s="54" t="str">
        <f>IF(S119="","",IFERROR(S119/VLOOKUP("USD",Setup!$A$38:$E$52,5,FALSE),""))</f>
        <v/>
      </c>
    </row>
    <row r="120" ht="24.0" customHeight="1">
      <c r="A120" s="78"/>
      <c r="B120" s="78"/>
      <c r="C120" s="78"/>
      <c r="D120" s="78"/>
      <c r="E120" s="78"/>
      <c r="F120" s="99"/>
      <c r="G120" s="104"/>
      <c r="H120" s="99"/>
      <c r="I120" s="78"/>
      <c r="J120" s="99"/>
      <c r="K120" s="99"/>
      <c r="L120" s="99"/>
      <c r="M120" s="99"/>
      <c r="N120" s="65"/>
      <c r="O120" s="66" t="str">
        <f t="shared" si="1"/>
        <v/>
      </c>
      <c r="P120" s="78"/>
      <c r="Q120" s="65"/>
      <c r="R120" s="78"/>
      <c r="S120" s="54" t="str">
        <f>IF(OR(G120="",H120=""),"",IFERROR(G120*VLOOKUP(H120,Setup!$A$38:$E$52,5,FALSE),""))</f>
        <v/>
      </c>
      <c r="T120" s="54" t="str">
        <f>IF(S120="","",IFERROR(S120/VLOOKUP("EUR",Setup!$A$38:$E$52,5,FALSE),""))</f>
        <v/>
      </c>
      <c r="U120" s="54" t="str">
        <f>IF(S120="","",IFERROR(S120/VLOOKUP("USD",Setup!$A$38:$E$52,5,FALSE),""))</f>
        <v/>
      </c>
    </row>
    <row r="121" ht="24.0" customHeight="1">
      <c r="A121" s="78"/>
      <c r="B121" s="78"/>
      <c r="C121" s="78"/>
      <c r="D121" s="78"/>
      <c r="E121" s="78"/>
      <c r="F121" s="99"/>
      <c r="G121" s="104"/>
      <c r="H121" s="99"/>
      <c r="I121" s="78"/>
      <c r="J121" s="99"/>
      <c r="K121" s="99"/>
      <c r="L121" s="99"/>
      <c r="M121" s="99"/>
      <c r="N121" s="65"/>
      <c r="O121" s="66" t="str">
        <f t="shared" si="1"/>
        <v/>
      </c>
      <c r="P121" s="78"/>
      <c r="Q121" s="65"/>
      <c r="R121" s="78"/>
      <c r="S121" s="54" t="str">
        <f>IF(OR(G121="",H121=""),"",IFERROR(G121*VLOOKUP(H121,Setup!$A$38:$E$52,5,FALSE),""))</f>
        <v/>
      </c>
      <c r="T121" s="54" t="str">
        <f>IF(S121="","",IFERROR(S121/VLOOKUP("EUR",Setup!$A$38:$E$52,5,FALSE),""))</f>
        <v/>
      </c>
      <c r="U121" s="54" t="str">
        <f>IF(S121="","",IFERROR(S121/VLOOKUP("USD",Setup!$A$38:$E$52,5,FALSE),""))</f>
        <v/>
      </c>
    </row>
    <row r="122" ht="24.0" customHeight="1">
      <c r="A122" s="78"/>
      <c r="B122" s="78"/>
      <c r="C122" s="78"/>
      <c r="D122" s="78"/>
      <c r="E122" s="78"/>
      <c r="F122" s="99"/>
      <c r="G122" s="104"/>
      <c r="H122" s="99"/>
      <c r="I122" s="78"/>
      <c r="J122" s="99"/>
      <c r="K122" s="99"/>
      <c r="L122" s="99"/>
      <c r="M122" s="99"/>
      <c r="N122" s="65"/>
      <c r="O122" s="66" t="str">
        <f t="shared" si="1"/>
        <v/>
      </c>
      <c r="P122" s="78"/>
      <c r="Q122" s="65"/>
      <c r="R122" s="78"/>
      <c r="S122" s="54" t="str">
        <f>IF(OR(G122="",H122=""),"",IFERROR(G122*VLOOKUP(H122,Setup!$A$38:$E$52,5,FALSE),""))</f>
        <v/>
      </c>
      <c r="T122" s="54" t="str">
        <f>IF(S122="","",IFERROR(S122/VLOOKUP("EUR",Setup!$A$38:$E$52,5,FALSE),""))</f>
        <v/>
      </c>
      <c r="U122" s="54" t="str">
        <f>IF(S122="","",IFERROR(S122/VLOOKUP("USD",Setup!$A$38:$E$52,5,FALSE),""))</f>
        <v/>
      </c>
    </row>
    <row r="123" ht="24.0" customHeight="1">
      <c r="A123" s="78"/>
      <c r="B123" s="78"/>
      <c r="C123" s="78"/>
      <c r="D123" s="78"/>
      <c r="E123" s="78"/>
      <c r="F123" s="99"/>
      <c r="G123" s="104"/>
      <c r="H123" s="99"/>
      <c r="I123" s="78"/>
      <c r="J123" s="99"/>
      <c r="K123" s="99"/>
      <c r="L123" s="99"/>
      <c r="M123" s="99"/>
      <c r="N123" s="65"/>
      <c r="O123" s="66" t="str">
        <f t="shared" si="1"/>
        <v/>
      </c>
      <c r="P123" s="78"/>
      <c r="Q123" s="65"/>
      <c r="R123" s="78"/>
      <c r="S123" s="54" t="str">
        <f>IF(OR(G123="",H123=""),"",IFERROR(G123*VLOOKUP(H123,Setup!$A$38:$E$52,5,FALSE),""))</f>
        <v/>
      </c>
      <c r="T123" s="54" t="str">
        <f>IF(S123="","",IFERROR(S123/VLOOKUP("EUR",Setup!$A$38:$E$52,5,FALSE),""))</f>
        <v/>
      </c>
      <c r="U123" s="54" t="str">
        <f>IF(S123="","",IFERROR(S123/VLOOKUP("USD",Setup!$A$38:$E$52,5,FALSE),""))</f>
        <v/>
      </c>
    </row>
    <row r="124" ht="24.0" customHeight="1">
      <c r="A124" s="78"/>
      <c r="B124" s="78"/>
      <c r="C124" s="78"/>
      <c r="D124" s="78"/>
      <c r="E124" s="78"/>
      <c r="F124" s="99"/>
      <c r="G124" s="104"/>
      <c r="H124" s="99"/>
      <c r="I124" s="78"/>
      <c r="J124" s="99"/>
      <c r="K124" s="99"/>
      <c r="L124" s="99"/>
      <c r="M124" s="99"/>
      <c r="N124" s="65"/>
      <c r="O124" s="66" t="str">
        <f t="shared" si="1"/>
        <v/>
      </c>
      <c r="P124" s="78"/>
      <c r="Q124" s="65"/>
      <c r="R124" s="78"/>
      <c r="S124" s="54" t="str">
        <f>IF(OR(G124="",H124=""),"",IFERROR(G124*VLOOKUP(H124,Setup!$A$38:$E$52,5,FALSE),""))</f>
        <v/>
      </c>
      <c r="T124" s="54" t="str">
        <f>IF(S124="","",IFERROR(S124/VLOOKUP("EUR",Setup!$A$38:$E$52,5,FALSE),""))</f>
        <v/>
      </c>
      <c r="U124" s="54" t="str">
        <f>IF(S124="","",IFERROR(S124/VLOOKUP("USD",Setup!$A$38:$E$52,5,FALSE),""))</f>
        <v/>
      </c>
    </row>
    <row r="125" ht="24.0" customHeight="1">
      <c r="A125" s="78"/>
      <c r="B125" s="78"/>
      <c r="C125" s="78"/>
      <c r="D125" s="78"/>
      <c r="E125" s="78"/>
      <c r="F125" s="99"/>
      <c r="G125" s="104"/>
      <c r="H125" s="99"/>
      <c r="I125" s="78"/>
      <c r="J125" s="99"/>
      <c r="K125" s="99"/>
      <c r="L125" s="99"/>
      <c r="M125" s="99"/>
      <c r="N125" s="65"/>
      <c r="O125" s="66" t="str">
        <f t="shared" si="1"/>
        <v/>
      </c>
      <c r="P125" s="78"/>
      <c r="Q125" s="65"/>
      <c r="R125" s="78"/>
      <c r="S125" s="54" t="str">
        <f>IF(OR(G125="",H125=""),"",IFERROR(G125*VLOOKUP(H125,Setup!$A$38:$E$52,5,FALSE),""))</f>
        <v/>
      </c>
      <c r="T125" s="54" t="str">
        <f>IF(S125="","",IFERROR(S125/VLOOKUP("EUR",Setup!$A$38:$E$52,5,FALSE),""))</f>
        <v/>
      </c>
      <c r="U125" s="54" t="str">
        <f>IF(S125="","",IFERROR(S125/VLOOKUP("USD",Setup!$A$38:$E$52,5,FALSE),""))</f>
        <v/>
      </c>
    </row>
    <row r="126" ht="24.0" customHeight="1">
      <c r="A126" s="78"/>
      <c r="B126" s="78"/>
      <c r="C126" s="78"/>
      <c r="D126" s="78"/>
      <c r="E126" s="78"/>
      <c r="F126" s="99"/>
      <c r="G126" s="104"/>
      <c r="H126" s="99"/>
      <c r="I126" s="78"/>
      <c r="J126" s="99"/>
      <c r="K126" s="99"/>
      <c r="L126" s="99"/>
      <c r="M126" s="99"/>
      <c r="N126" s="65"/>
      <c r="O126" s="66" t="str">
        <f t="shared" si="1"/>
        <v/>
      </c>
      <c r="P126" s="78"/>
      <c r="Q126" s="65"/>
      <c r="R126" s="78"/>
      <c r="S126" s="54" t="str">
        <f>IF(OR(G126="",H126=""),"",IFERROR(G126*VLOOKUP(H126,Setup!$A$38:$E$52,5,FALSE),""))</f>
        <v/>
      </c>
      <c r="T126" s="54" t="str">
        <f>IF(S126="","",IFERROR(S126/VLOOKUP("EUR",Setup!$A$38:$E$52,5,FALSE),""))</f>
        <v/>
      </c>
      <c r="U126" s="54" t="str">
        <f>IF(S126="","",IFERROR(S126/VLOOKUP("USD",Setup!$A$38:$E$52,5,FALSE),""))</f>
        <v/>
      </c>
    </row>
    <row r="127" ht="24.0" customHeight="1">
      <c r="A127" s="78"/>
      <c r="B127" s="78"/>
      <c r="C127" s="78"/>
      <c r="D127" s="78"/>
      <c r="E127" s="78"/>
      <c r="F127" s="99"/>
      <c r="G127" s="104"/>
      <c r="H127" s="99"/>
      <c r="I127" s="78"/>
      <c r="J127" s="99"/>
      <c r="K127" s="99"/>
      <c r="L127" s="99"/>
      <c r="M127" s="99"/>
      <c r="N127" s="65"/>
      <c r="O127" s="66" t="str">
        <f t="shared" si="1"/>
        <v/>
      </c>
      <c r="P127" s="78"/>
      <c r="Q127" s="65"/>
      <c r="R127" s="78"/>
      <c r="S127" s="54" t="str">
        <f>IF(OR(G127="",H127=""),"",IFERROR(G127*VLOOKUP(H127,Setup!$A$38:$E$52,5,FALSE),""))</f>
        <v/>
      </c>
      <c r="T127" s="54" t="str">
        <f>IF(S127="","",IFERROR(S127/VLOOKUP("EUR",Setup!$A$38:$E$52,5,FALSE),""))</f>
        <v/>
      </c>
      <c r="U127" s="54" t="str">
        <f>IF(S127="","",IFERROR(S127/VLOOKUP("USD",Setup!$A$38:$E$52,5,FALSE),""))</f>
        <v/>
      </c>
    </row>
    <row r="128" ht="24.0" customHeight="1">
      <c r="A128" s="78"/>
      <c r="B128" s="78"/>
      <c r="C128" s="78"/>
      <c r="D128" s="78"/>
      <c r="E128" s="78"/>
      <c r="F128" s="99"/>
      <c r="G128" s="104"/>
      <c r="H128" s="99"/>
      <c r="I128" s="78"/>
      <c r="J128" s="99"/>
      <c r="K128" s="99"/>
      <c r="L128" s="99"/>
      <c r="M128" s="99"/>
      <c r="N128" s="65"/>
      <c r="O128" s="66" t="str">
        <f t="shared" si="1"/>
        <v/>
      </c>
      <c r="P128" s="78"/>
      <c r="Q128" s="65"/>
      <c r="R128" s="78"/>
      <c r="S128" s="54" t="str">
        <f>IF(OR(G128="",H128=""),"",IFERROR(G128*VLOOKUP(H128,Setup!$A$38:$E$52,5,FALSE),""))</f>
        <v/>
      </c>
      <c r="T128" s="54" t="str">
        <f>IF(S128="","",IFERROR(S128/VLOOKUP("EUR",Setup!$A$38:$E$52,5,FALSE),""))</f>
        <v/>
      </c>
      <c r="U128" s="54" t="str">
        <f>IF(S128="","",IFERROR(S128/VLOOKUP("USD",Setup!$A$38:$E$52,5,FALSE),""))</f>
        <v/>
      </c>
    </row>
    <row r="129" ht="24.0" customHeight="1">
      <c r="A129" s="78"/>
      <c r="B129" s="78"/>
      <c r="C129" s="78"/>
      <c r="D129" s="78"/>
      <c r="E129" s="78"/>
      <c r="F129" s="99"/>
      <c r="G129" s="104"/>
      <c r="H129" s="99"/>
      <c r="I129" s="78"/>
      <c r="J129" s="99"/>
      <c r="K129" s="99"/>
      <c r="L129" s="99"/>
      <c r="M129" s="99"/>
      <c r="N129" s="65"/>
      <c r="O129" s="66" t="str">
        <f t="shared" si="1"/>
        <v/>
      </c>
      <c r="P129" s="78"/>
      <c r="Q129" s="65"/>
      <c r="R129" s="78"/>
      <c r="S129" s="54" t="str">
        <f>IF(OR(G129="",H129=""),"",IFERROR(G129*VLOOKUP(H129,Setup!$A$38:$E$52,5,FALSE),""))</f>
        <v/>
      </c>
      <c r="T129" s="54" t="str">
        <f>IF(S129="","",IFERROR(S129/VLOOKUP("EUR",Setup!$A$38:$E$52,5,FALSE),""))</f>
        <v/>
      </c>
      <c r="U129" s="54" t="str">
        <f>IF(S129="","",IFERROR(S129/VLOOKUP("USD",Setup!$A$38:$E$52,5,FALSE),""))</f>
        <v/>
      </c>
    </row>
    <row r="130" ht="24.0" customHeight="1">
      <c r="A130" s="78"/>
      <c r="B130" s="78"/>
      <c r="C130" s="78"/>
      <c r="D130" s="78"/>
      <c r="E130" s="78"/>
      <c r="F130" s="99"/>
      <c r="G130" s="104"/>
      <c r="H130" s="99"/>
      <c r="I130" s="78"/>
      <c r="J130" s="99"/>
      <c r="K130" s="99"/>
      <c r="L130" s="99"/>
      <c r="M130" s="99"/>
      <c r="N130" s="65"/>
      <c r="O130" s="66" t="str">
        <f t="shared" si="1"/>
        <v/>
      </c>
      <c r="P130" s="78"/>
      <c r="Q130" s="65"/>
      <c r="R130" s="78"/>
      <c r="S130" s="54" t="str">
        <f>IF(OR(G130="",H130=""),"",IFERROR(G130*VLOOKUP(H130,Setup!$A$38:$E$52,5,FALSE),""))</f>
        <v/>
      </c>
      <c r="T130" s="54" t="str">
        <f>IF(S130="","",IFERROR(S130/VLOOKUP("EUR",Setup!$A$38:$E$52,5,FALSE),""))</f>
        <v/>
      </c>
      <c r="U130" s="54" t="str">
        <f>IF(S130="","",IFERROR(S130/VLOOKUP("USD",Setup!$A$38:$E$52,5,FALSE),""))</f>
        <v/>
      </c>
    </row>
    <row r="131" ht="24.0" customHeight="1">
      <c r="A131" s="78"/>
      <c r="B131" s="78"/>
      <c r="C131" s="78"/>
      <c r="D131" s="78"/>
      <c r="E131" s="78"/>
      <c r="F131" s="99"/>
      <c r="G131" s="104"/>
      <c r="H131" s="99"/>
      <c r="I131" s="78"/>
      <c r="J131" s="99"/>
      <c r="K131" s="99"/>
      <c r="L131" s="99"/>
      <c r="M131" s="99"/>
      <c r="N131" s="65"/>
      <c r="O131" s="66" t="str">
        <f t="shared" si="1"/>
        <v/>
      </c>
      <c r="P131" s="78"/>
      <c r="Q131" s="65"/>
      <c r="R131" s="78"/>
      <c r="S131" s="54" t="str">
        <f>IF(OR(G131="",H131=""),"",IFERROR(G131*VLOOKUP(H131,Setup!$A$38:$E$52,5,FALSE),""))</f>
        <v/>
      </c>
      <c r="T131" s="54" t="str">
        <f>IF(S131="","",IFERROR(S131/VLOOKUP("EUR",Setup!$A$38:$E$52,5,FALSE),""))</f>
        <v/>
      </c>
      <c r="U131" s="54" t="str">
        <f>IF(S131="","",IFERROR(S131/VLOOKUP("USD",Setup!$A$38:$E$52,5,FALSE),""))</f>
        <v/>
      </c>
    </row>
    <row r="132" ht="24.0" customHeight="1">
      <c r="A132" s="78"/>
      <c r="B132" s="78"/>
      <c r="C132" s="78"/>
      <c r="D132" s="78"/>
      <c r="E132" s="78"/>
      <c r="F132" s="99"/>
      <c r="G132" s="104"/>
      <c r="H132" s="99"/>
      <c r="I132" s="78"/>
      <c r="J132" s="99"/>
      <c r="K132" s="99"/>
      <c r="L132" s="99"/>
      <c r="M132" s="99"/>
      <c r="N132" s="65"/>
      <c r="O132" s="66" t="str">
        <f t="shared" si="1"/>
        <v/>
      </c>
      <c r="P132" s="78"/>
      <c r="Q132" s="65"/>
      <c r="R132" s="78"/>
      <c r="S132" s="54" t="str">
        <f>IF(OR(G132="",H132=""),"",IFERROR(G132*VLOOKUP(H132,Setup!$A$38:$E$52,5,FALSE),""))</f>
        <v/>
      </c>
      <c r="T132" s="54" t="str">
        <f>IF(S132="","",IFERROR(S132/VLOOKUP("EUR",Setup!$A$38:$E$52,5,FALSE),""))</f>
        <v/>
      </c>
      <c r="U132" s="54" t="str">
        <f>IF(S132="","",IFERROR(S132/VLOOKUP("USD",Setup!$A$38:$E$52,5,FALSE),""))</f>
        <v/>
      </c>
    </row>
    <row r="133" ht="24.0" customHeight="1">
      <c r="A133" s="78"/>
      <c r="B133" s="78"/>
      <c r="C133" s="78"/>
      <c r="D133" s="78"/>
      <c r="E133" s="78"/>
      <c r="F133" s="99"/>
      <c r="G133" s="104"/>
      <c r="H133" s="99"/>
      <c r="I133" s="78"/>
      <c r="J133" s="99"/>
      <c r="K133" s="99"/>
      <c r="L133" s="99"/>
      <c r="M133" s="99"/>
      <c r="N133" s="65"/>
      <c r="O133" s="66" t="str">
        <f t="shared" si="1"/>
        <v/>
      </c>
      <c r="P133" s="78"/>
      <c r="Q133" s="65"/>
      <c r="R133" s="78"/>
      <c r="S133" s="54" t="str">
        <f>IF(OR(G133="",H133=""),"",IFERROR(G133*VLOOKUP(H133,Setup!$A$38:$E$52,5,FALSE),""))</f>
        <v/>
      </c>
      <c r="T133" s="54" t="str">
        <f>IF(S133="","",IFERROR(S133/VLOOKUP("EUR",Setup!$A$38:$E$52,5,FALSE),""))</f>
        <v/>
      </c>
      <c r="U133" s="54" t="str">
        <f>IF(S133="","",IFERROR(S133/VLOOKUP("USD",Setup!$A$38:$E$52,5,FALSE),""))</f>
        <v/>
      </c>
    </row>
    <row r="134" ht="24.0" customHeight="1">
      <c r="A134" s="78"/>
      <c r="B134" s="78"/>
      <c r="C134" s="78"/>
      <c r="D134" s="78"/>
      <c r="E134" s="78"/>
      <c r="F134" s="99"/>
      <c r="G134" s="104"/>
      <c r="H134" s="99"/>
      <c r="I134" s="78"/>
      <c r="J134" s="99"/>
      <c r="K134" s="99"/>
      <c r="L134" s="99"/>
      <c r="M134" s="99"/>
      <c r="N134" s="65"/>
      <c r="O134" s="66" t="str">
        <f t="shared" si="1"/>
        <v/>
      </c>
      <c r="P134" s="78"/>
      <c r="Q134" s="65"/>
      <c r="R134" s="78"/>
      <c r="S134" s="54" t="str">
        <f>IF(OR(G134="",H134=""),"",IFERROR(G134*VLOOKUP(H134,Setup!$A$38:$E$52,5,FALSE),""))</f>
        <v/>
      </c>
      <c r="T134" s="54" t="str">
        <f>IF(S134="","",IFERROR(S134/VLOOKUP("EUR",Setup!$A$38:$E$52,5,FALSE),""))</f>
        <v/>
      </c>
      <c r="U134" s="54" t="str">
        <f>IF(S134="","",IFERROR(S134/VLOOKUP("USD",Setup!$A$38:$E$52,5,FALSE),""))</f>
        <v/>
      </c>
    </row>
    <row r="135" ht="24.0" customHeight="1">
      <c r="A135" s="78"/>
      <c r="B135" s="78"/>
      <c r="C135" s="78"/>
      <c r="D135" s="78"/>
      <c r="E135" s="78"/>
      <c r="F135" s="99"/>
      <c r="G135" s="104"/>
      <c r="H135" s="99"/>
      <c r="I135" s="78"/>
      <c r="J135" s="99"/>
      <c r="K135" s="99"/>
      <c r="L135" s="99"/>
      <c r="M135" s="99"/>
      <c r="N135" s="65"/>
      <c r="O135" s="66" t="str">
        <f t="shared" si="1"/>
        <v/>
      </c>
      <c r="P135" s="78"/>
      <c r="Q135" s="65"/>
      <c r="R135" s="78"/>
      <c r="S135" s="54" t="str">
        <f>IF(OR(G135="",H135=""),"",IFERROR(G135*VLOOKUP(H135,Setup!$A$38:$E$52,5,FALSE),""))</f>
        <v/>
      </c>
      <c r="T135" s="54" t="str">
        <f>IF(S135="","",IFERROR(S135/VLOOKUP("EUR",Setup!$A$38:$E$52,5,FALSE),""))</f>
        <v/>
      </c>
      <c r="U135" s="54" t="str">
        <f>IF(S135="","",IFERROR(S135/VLOOKUP("USD",Setup!$A$38:$E$52,5,FALSE),""))</f>
        <v/>
      </c>
    </row>
    <row r="136" ht="24.0" customHeight="1">
      <c r="A136" s="78"/>
      <c r="B136" s="78"/>
      <c r="C136" s="78"/>
      <c r="D136" s="78"/>
      <c r="E136" s="78"/>
      <c r="F136" s="99"/>
      <c r="G136" s="104"/>
      <c r="H136" s="99"/>
      <c r="I136" s="78"/>
      <c r="J136" s="99"/>
      <c r="K136" s="99"/>
      <c r="L136" s="99"/>
      <c r="M136" s="99"/>
      <c r="N136" s="65"/>
      <c r="O136" s="66" t="str">
        <f t="shared" si="1"/>
        <v/>
      </c>
      <c r="P136" s="78"/>
      <c r="Q136" s="65"/>
      <c r="R136" s="78"/>
      <c r="S136" s="54" t="str">
        <f>IF(OR(G136="",H136=""),"",IFERROR(G136*VLOOKUP(H136,Setup!$A$38:$E$52,5,FALSE),""))</f>
        <v/>
      </c>
      <c r="T136" s="54" t="str">
        <f>IF(S136="","",IFERROR(S136/VLOOKUP("EUR",Setup!$A$38:$E$52,5,FALSE),""))</f>
        <v/>
      </c>
      <c r="U136" s="54" t="str">
        <f>IF(S136="","",IFERROR(S136/VLOOKUP("USD",Setup!$A$38:$E$52,5,FALSE),""))</f>
        <v/>
      </c>
    </row>
    <row r="137" ht="24.0" customHeight="1">
      <c r="A137" s="78"/>
      <c r="B137" s="78"/>
      <c r="C137" s="78"/>
      <c r="D137" s="78"/>
      <c r="E137" s="78"/>
      <c r="F137" s="99"/>
      <c r="G137" s="104"/>
      <c r="H137" s="99"/>
      <c r="I137" s="78"/>
      <c r="J137" s="99"/>
      <c r="K137" s="99"/>
      <c r="L137" s="99"/>
      <c r="M137" s="99"/>
      <c r="N137" s="65"/>
      <c r="O137" s="66" t="str">
        <f t="shared" si="1"/>
        <v/>
      </c>
      <c r="P137" s="78"/>
      <c r="Q137" s="65"/>
      <c r="R137" s="78"/>
      <c r="S137" s="54" t="str">
        <f>IF(OR(G137="",H137=""),"",IFERROR(G137*VLOOKUP(H137,Setup!$A$38:$E$52,5,FALSE),""))</f>
        <v/>
      </c>
      <c r="T137" s="54" t="str">
        <f>IF(S137="","",IFERROR(S137/VLOOKUP("EUR",Setup!$A$38:$E$52,5,FALSE),""))</f>
        <v/>
      </c>
      <c r="U137" s="54" t="str">
        <f>IF(S137="","",IFERROR(S137/VLOOKUP("USD",Setup!$A$38:$E$52,5,FALSE),""))</f>
        <v/>
      </c>
    </row>
    <row r="138" ht="24.0" customHeight="1">
      <c r="A138" s="78"/>
      <c r="B138" s="78"/>
      <c r="C138" s="78"/>
      <c r="D138" s="78"/>
      <c r="E138" s="78"/>
      <c r="F138" s="99"/>
      <c r="G138" s="104"/>
      <c r="H138" s="99"/>
      <c r="I138" s="78"/>
      <c r="J138" s="99"/>
      <c r="K138" s="99"/>
      <c r="L138" s="99"/>
      <c r="M138" s="99"/>
      <c r="N138" s="65"/>
      <c r="O138" s="66" t="str">
        <f t="shared" si="1"/>
        <v/>
      </c>
      <c r="P138" s="78"/>
      <c r="Q138" s="65"/>
      <c r="R138" s="78"/>
      <c r="S138" s="54" t="str">
        <f>IF(OR(G138="",H138=""),"",IFERROR(G138*VLOOKUP(H138,Setup!$A$38:$E$52,5,FALSE),""))</f>
        <v/>
      </c>
      <c r="T138" s="54" t="str">
        <f>IF(S138="","",IFERROR(S138/VLOOKUP("EUR",Setup!$A$38:$E$52,5,FALSE),""))</f>
        <v/>
      </c>
      <c r="U138" s="54" t="str">
        <f>IF(S138="","",IFERROR(S138/VLOOKUP("USD",Setup!$A$38:$E$52,5,FALSE),""))</f>
        <v/>
      </c>
    </row>
    <row r="139" ht="24.0" customHeight="1">
      <c r="A139" s="78"/>
      <c r="B139" s="78"/>
      <c r="C139" s="78"/>
      <c r="D139" s="78"/>
      <c r="E139" s="78"/>
      <c r="F139" s="99"/>
      <c r="G139" s="104"/>
      <c r="H139" s="99"/>
      <c r="I139" s="78"/>
      <c r="J139" s="99"/>
      <c r="K139" s="99"/>
      <c r="L139" s="99"/>
      <c r="M139" s="99"/>
      <c r="N139" s="65"/>
      <c r="O139" s="66" t="str">
        <f t="shared" si="1"/>
        <v/>
      </c>
      <c r="P139" s="78"/>
      <c r="Q139" s="65"/>
      <c r="R139" s="78"/>
      <c r="S139" s="54" t="str">
        <f>IF(OR(G139="",H139=""),"",IFERROR(G139*VLOOKUP(H139,Setup!$A$38:$E$52,5,FALSE),""))</f>
        <v/>
      </c>
      <c r="T139" s="54" t="str">
        <f>IF(S139="","",IFERROR(S139/VLOOKUP("EUR",Setup!$A$38:$E$52,5,FALSE),""))</f>
        <v/>
      </c>
      <c r="U139" s="54" t="str">
        <f>IF(S139="","",IFERROR(S139/VLOOKUP("USD",Setup!$A$38:$E$52,5,FALSE),""))</f>
        <v/>
      </c>
    </row>
    <row r="140" ht="24.0" customHeight="1">
      <c r="A140" s="78"/>
      <c r="B140" s="78"/>
      <c r="C140" s="78"/>
      <c r="D140" s="78"/>
      <c r="E140" s="78"/>
      <c r="F140" s="99"/>
      <c r="G140" s="104"/>
      <c r="H140" s="99"/>
      <c r="I140" s="78"/>
      <c r="J140" s="99"/>
      <c r="K140" s="99"/>
      <c r="L140" s="99"/>
      <c r="M140" s="99"/>
      <c r="N140" s="65"/>
      <c r="O140" s="66" t="str">
        <f t="shared" si="1"/>
        <v/>
      </c>
      <c r="P140" s="78"/>
      <c r="Q140" s="65"/>
      <c r="R140" s="78"/>
      <c r="S140" s="54" t="str">
        <f>IF(OR(G140="",H140=""),"",IFERROR(G140*VLOOKUP(H140,Setup!$A$38:$E$52,5,FALSE),""))</f>
        <v/>
      </c>
      <c r="T140" s="54" t="str">
        <f>IF(S140="","",IFERROR(S140/VLOOKUP("EUR",Setup!$A$38:$E$52,5,FALSE),""))</f>
        <v/>
      </c>
      <c r="U140" s="54" t="str">
        <f>IF(S140="","",IFERROR(S140/VLOOKUP("USD",Setup!$A$38:$E$52,5,FALSE),""))</f>
        <v/>
      </c>
    </row>
    <row r="141" ht="24.0" customHeight="1">
      <c r="A141" s="78"/>
      <c r="B141" s="78"/>
      <c r="C141" s="78"/>
      <c r="D141" s="78"/>
      <c r="E141" s="78"/>
      <c r="F141" s="99"/>
      <c r="G141" s="104"/>
      <c r="H141" s="99"/>
      <c r="I141" s="78"/>
      <c r="J141" s="99"/>
      <c r="K141" s="99"/>
      <c r="L141" s="99"/>
      <c r="M141" s="99"/>
      <c r="N141" s="65"/>
      <c r="O141" s="66" t="str">
        <f t="shared" si="1"/>
        <v/>
      </c>
      <c r="P141" s="78"/>
      <c r="Q141" s="65"/>
      <c r="R141" s="78"/>
      <c r="S141" s="54" t="str">
        <f>IF(OR(G141="",H141=""),"",IFERROR(G141*VLOOKUP(H141,Setup!$A$38:$E$52,5,FALSE),""))</f>
        <v/>
      </c>
      <c r="T141" s="54" t="str">
        <f>IF(S141="","",IFERROR(S141/VLOOKUP("EUR",Setup!$A$38:$E$52,5,FALSE),""))</f>
        <v/>
      </c>
      <c r="U141" s="54" t="str">
        <f>IF(S141="","",IFERROR(S141/VLOOKUP("USD",Setup!$A$38:$E$52,5,FALSE),""))</f>
        <v/>
      </c>
    </row>
    <row r="142" ht="24.0" customHeight="1">
      <c r="A142" s="78"/>
      <c r="B142" s="78"/>
      <c r="C142" s="78"/>
      <c r="D142" s="78"/>
      <c r="E142" s="78"/>
      <c r="F142" s="99"/>
      <c r="G142" s="104"/>
      <c r="H142" s="99"/>
      <c r="I142" s="78"/>
      <c r="J142" s="99"/>
      <c r="K142" s="99"/>
      <c r="L142" s="99"/>
      <c r="M142" s="99"/>
      <c r="N142" s="65"/>
      <c r="O142" s="66" t="str">
        <f t="shared" si="1"/>
        <v/>
      </c>
      <c r="P142" s="78"/>
      <c r="Q142" s="65"/>
      <c r="R142" s="78"/>
      <c r="S142" s="54" t="str">
        <f>IF(OR(G142="",H142=""),"",IFERROR(G142*VLOOKUP(H142,Setup!$A$38:$E$52,5,FALSE),""))</f>
        <v/>
      </c>
      <c r="T142" s="54" t="str">
        <f>IF(S142="","",IFERROR(S142/VLOOKUP("EUR",Setup!$A$38:$E$52,5,FALSE),""))</f>
        <v/>
      </c>
      <c r="U142" s="54" t="str">
        <f>IF(S142="","",IFERROR(S142/VLOOKUP("USD",Setup!$A$38:$E$52,5,FALSE),""))</f>
        <v/>
      </c>
    </row>
    <row r="143" ht="24.0" customHeight="1">
      <c r="A143" s="78"/>
      <c r="B143" s="78"/>
      <c r="C143" s="78"/>
      <c r="D143" s="78"/>
      <c r="E143" s="78"/>
      <c r="F143" s="99"/>
      <c r="G143" s="104"/>
      <c r="H143" s="99"/>
      <c r="I143" s="78"/>
      <c r="J143" s="99"/>
      <c r="K143" s="99"/>
      <c r="L143" s="99"/>
      <c r="M143" s="99"/>
      <c r="N143" s="65"/>
      <c r="O143" s="66" t="str">
        <f t="shared" si="1"/>
        <v/>
      </c>
      <c r="P143" s="78"/>
      <c r="Q143" s="65"/>
      <c r="R143" s="78"/>
      <c r="S143" s="54" t="str">
        <f>IF(OR(G143="",H143=""),"",IFERROR(G143*VLOOKUP(H143,Setup!$A$38:$E$52,5,FALSE),""))</f>
        <v/>
      </c>
      <c r="T143" s="54" t="str">
        <f>IF(S143="","",IFERROR(S143/VLOOKUP("EUR",Setup!$A$38:$E$52,5,FALSE),""))</f>
        <v/>
      </c>
      <c r="U143" s="54" t="str">
        <f>IF(S143="","",IFERROR(S143/VLOOKUP("USD",Setup!$A$38:$E$52,5,FALSE),""))</f>
        <v/>
      </c>
    </row>
    <row r="144" ht="24.0" customHeight="1">
      <c r="A144" s="78"/>
      <c r="B144" s="78"/>
      <c r="C144" s="78"/>
      <c r="D144" s="78"/>
      <c r="E144" s="78"/>
      <c r="F144" s="99"/>
      <c r="G144" s="104"/>
      <c r="H144" s="99"/>
      <c r="I144" s="78"/>
      <c r="J144" s="99"/>
      <c r="K144" s="99"/>
      <c r="L144" s="99"/>
      <c r="M144" s="99"/>
      <c r="N144" s="65"/>
      <c r="O144" s="66" t="str">
        <f t="shared" si="1"/>
        <v/>
      </c>
      <c r="P144" s="78"/>
      <c r="Q144" s="65"/>
      <c r="R144" s="78"/>
      <c r="S144" s="54" t="str">
        <f>IF(OR(G144="",H144=""),"",IFERROR(G144*VLOOKUP(H144,Setup!$A$38:$E$52,5,FALSE),""))</f>
        <v/>
      </c>
      <c r="T144" s="54" t="str">
        <f>IF(S144="","",IFERROR(S144/VLOOKUP("EUR",Setup!$A$38:$E$52,5,FALSE),""))</f>
        <v/>
      </c>
      <c r="U144" s="54" t="str">
        <f>IF(S144="","",IFERROR(S144/VLOOKUP("USD",Setup!$A$38:$E$52,5,FALSE),""))</f>
        <v/>
      </c>
    </row>
    <row r="145" ht="24.0" customHeight="1">
      <c r="A145" s="78"/>
      <c r="B145" s="78"/>
      <c r="C145" s="78"/>
      <c r="D145" s="78"/>
      <c r="E145" s="78"/>
      <c r="F145" s="99"/>
      <c r="G145" s="104"/>
      <c r="H145" s="99"/>
      <c r="I145" s="78"/>
      <c r="J145" s="99"/>
      <c r="K145" s="99"/>
      <c r="L145" s="99"/>
      <c r="M145" s="99"/>
      <c r="N145" s="65"/>
      <c r="O145" s="66" t="str">
        <f t="shared" si="1"/>
        <v/>
      </c>
      <c r="P145" s="78"/>
      <c r="Q145" s="65"/>
      <c r="R145" s="78"/>
      <c r="S145" s="54" t="str">
        <f>IF(OR(G145="",H145=""),"",IFERROR(G145*VLOOKUP(H145,Setup!$A$38:$E$52,5,FALSE),""))</f>
        <v/>
      </c>
      <c r="T145" s="54" t="str">
        <f>IF(S145="","",IFERROR(S145/VLOOKUP("EUR",Setup!$A$38:$E$52,5,FALSE),""))</f>
        <v/>
      </c>
      <c r="U145" s="54" t="str">
        <f>IF(S145="","",IFERROR(S145/VLOOKUP("USD",Setup!$A$38:$E$52,5,FALSE),""))</f>
        <v/>
      </c>
    </row>
    <row r="146" ht="24.0" customHeight="1">
      <c r="A146" s="78"/>
      <c r="B146" s="78"/>
      <c r="C146" s="78"/>
      <c r="D146" s="78"/>
      <c r="E146" s="78"/>
      <c r="F146" s="99"/>
      <c r="G146" s="104"/>
      <c r="H146" s="99"/>
      <c r="I146" s="78"/>
      <c r="J146" s="99"/>
      <c r="K146" s="99"/>
      <c r="L146" s="99"/>
      <c r="M146" s="99"/>
      <c r="N146" s="65"/>
      <c r="O146" s="66" t="str">
        <f t="shared" si="1"/>
        <v/>
      </c>
      <c r="P146" s="78"/>
      <c r="Q146" s="65"/>
      <c r="R146" s="78"/>
      <c r="S146" s="54" t="str">
        <f>IF(OR(G146="",H146=""),"",IFERROR(G146*VLOOKUP(H146,Setup!$A$38:$E$52,5,FALSE),""))</f>
        <v/>
      </c>
      <c r="T146" s="54" t="str">
        <f>IF(S146="","",IFERROR(S146/VLOOKUP("EUR",Setup!$A$38:$E$52,5,FALSE),""))</f>
        <v/>
      </c>
      <c r="U146" s="54" t="str">
        <f>IF(S146="","",IFERROR(S146/VLOOKUP("USD",Setup!$A$38:$E$52,5,FALSE),""))</f>
        <v/>
      </c>
    </row>
    <row r="147" ht="24.0" customHeight="1">
      <c r="A147" s="78"/>
      <c r="B147" s="78"/>
      <c r="C147" s="78"/>
      <c r="D147" s="78"/>
      <c r="E147" s="78"/>
      <c r="F147" s="99"/>
      <c r="G147" s="104"/>
      <c r="H147" s="99"/>
      <c r="I147" s="78"/>
      <c r="J147" s="99"/>
      <c r="K147" s="99"/>
      <c r="L147" s="99"/>
      <c r="M147" s="99"/>
      <c r="N147" s="65"/>
      <c r="O147" s="66" t="str">
        <f t="shared" si="1"/>
        <v/>
      </c>
      <c r="P147" s="78"/>
      <c r="Q147" s="65"/>
      <c r="R147" s="78"/>
      <c r="S147" s="54" t="str">
        <f>IF(OR(G147="",H147=""),"",IFERROR(G147*VLOOKUP(H147,Setup!$A$38:$E$52,5,FALSE),""))</f>
        <v/>
      </c>
      <c r="T147" s="54" t="str">
        <f>IF(S147="","",IFERROR(S147/VLOOKUP("EUR",Setup!$A$38:$E$52,5,FALSE),""))</f>
        <v/>
      </c>
      <c r="U147" s="54" t="str">
        <f>IF(S147="","",IFERROR(S147/VLOOKUP("USD",Setup!$A$38:$E$52,5,FALSE),""))</f>
        <v/>
      </c>
    </row>
    <row r="148" ht="24.0" customHeight="1">
      <c r="A148" s="78"/>
      <c r="B148" s="78"/>
      <c r="C148" s="78"/>
      <c r="D148" s="78"/>
      <c r="E148" s="78"/>
      <c r="F148" s="99"/>
      <c r="G148" s="104"/>
      <c r="H148" s="99"/>
      <c r="I148" s="78"/>
      <c r="J148" s="99"/>
      <c r="K148" s="99"/>
      <c r="L148" s="99"/>
      <c r="M148" s="99"/>
      <c r="N148" s="65"/>
      <c r="O148" s="66" t="str">
        <f t="shared" si="1"/>
        <v/>
      </c>
      <c r="P148" s="78"/>
      <c r="Q148" s="65"/>
      <c r="R148" s="78"/>
      <c r="S148" s="54" t="str">
        <f>IF(OR(G148="",H148=""),"",IFERROR(G148*VLOOKUP(H148,Setup!$A$38:$E$52,5,FALSE),""))</f>
        <v/>
      </c>
      <c r="T148" s="54" t="str">
        <f>IF(S148="","",IFERROR(S148/VLOOKUP("EUR",Setup!$A$38:$E$52,5,FALSE),""))</f>
        <v/>
      </c>
      <c r="U148" s="54" t="str">
        <f>IF(S148="","",IFERROR(S148/VLOOKUP("USD",Setup!$A$38:$E$52,5,FALSE),""))</f>
        <v/>
      </c>
    </row>
    <row r="149" ht="24.0" customHeight="1">
      <c r="A149" s="78"/>
      <c r="B149" s="78"/>
      <c r="C149" s="78"/>
      <c r="D149" s="78"/>
      <c r="E149" s="78"/>
      <c r="F149" s="99"/>
      <c r="G149" s="104"/>
      <c r="H149" s="99"/>
      <c r="I149" s="78"/>
      <c r="J149" s="99"/>
      <c r="K149" s="99"/>
      <c r="L149" s="99"/>
      <c r="M149" s="99"/>
      <c r="N149" s="65"/>
      <c r="O149" s="66" t="str">
        <f t="shared" si="1"/>
        <v/>
      </c>
      <c r="P149" s="78"/>
      <c r="Q149" s="65"/>
      <c r="R149" s="78"/>
      <c r="S149" s="54" t="str">
        <f>IF(OR(G149="",H149=""),"",IFERROR(G149*VLOOKUP(H149,Setup!$A$38:$E$52,5,FALSE),""))</f>
        <v/>
      </c>
      <c r="T149" s="54" t="str">
        <f>IF(S149="","",IFERROR(S149/VLOOKUP("EUR",Setup!$A$38:$E$52,5,FALSE),""))</f>
        <v/>
      </c>
      <c r="U149" s="54" t="str">
        <f>IF(S149="","",IFERROR(S149/VLOOKUP("USD",Setup!$A$38:$E$52,5,FALSE),""))</f>
        <v/>
      </c>
    </row>
    <row r="150" ht="24.0" customHeight="1">
      <c r="A150" s="78"/>
      <c r="B150" s="78"/>
      <c r="C150" s="78"/>
      <c r="D150" s="78"/>
      <c r="E150" s="78"/>
      <c r="F150" s="99"/>
      <c r="G150" s="104"/>
      <c r="H150" s="99"/>
      <c r="I150" s="78"/>
      <c r="J150" s="99"/>
      <c r="K150" s="99"/>
      <c r="L150" s="99"/>
      <c r="M150" s="99"/>
      <c r="N150" s="65"/>
      <c r="O150" s="66" t="str">
        <f t="shared" si="1"/>
        <v/>
      </c>
      <c r="P150" s="78"/>
      <c r="Q150" s="65"/>
      <c r="R150" s="78"/>
      <c r="S150" s="54" t="str">
        <f>IF(OR(G150="",H150=""),"",IFERROR(G150*VLOOKUP(H150,Setup!$A$38:$E$52,5,FALSE),""))</f>
        <v/>
      </c>
      <c r="T150" s="54" t="str">
        <f>IF(S150="","",IFERROR(S150/VLOOKUP("EUR",Setup!$A$38:$E$52,5,FALSE),""))</f>
        <v/>
      </c>
      <c r="U150" s="54" t="str">
        <f>IF(S150="","",IFERROR(S150/VLOOKUP("USD",Setup!$A$38:$E$52,5,FALSE),""))</f>
        <v/>
      </c>
    </row>
    <row r="151" ht="24.0" customHeight="1">
      <c r="A151" s="78"/>
      <c r="B151" s="78"/>
      <c r="C151" s="78"/>
      <c r="D151" s="78"/>
      <c r="E151" s="78"/>
      <c r="F151" s="99"/>
      <c r="G151" s="104"/>
      <c r="H151" s="99"/>
      <c r="I151" s="78"/>
      <c r="J151" s="99"/>
      <c r="K151" s="99"/>
      <c r="L151" s="99"/>
      <c r="M151" s="99"/>
      <c r="N151" s="65"/>
      <c r="O151" s="66" t="str">
        <f t="shared" si="1"/>
        <v/>
      </c>
      <c r="P151" s="78"/>
      <c r="Q151" s="65"/>
      <c r="R151" s="78"/>
      <c r="S151" s="54" t="str">
        <f>IF(OR(G151="",H151=""),"",IFERROR(G151*VLOOKUP(H151,Setup!$A$38:$E$52,5,FALSE),""))</f>
        <v/>
      </c>
      <c r="T151" s="54" t="str">
        <f>IF(S151="","",IFERROR(S151/VLOOKUP("EUR",Setup!$A$38:$E$52,5,FALSE),""))</f>
        <v/>
      </c>
      <c r="U151" s="54" t="str">
        <f>IF(S151="","",IFERROR(S151/VLOOKUP("USD",Setup!$A$38:$E$52,5,FALSE),""))</f>
        <v/>
      </c>
    </row>
    <row r="152" ht="24.0" customHeight="1">
      <c r="A152" s="78"/>
      <c r="B152" s="78"/>
      <c r="C152" s="78"/>
      <c r="D152" s="78"/>
      <c r="E152" s="78"/>
      <c r="F152" s="99"/>
      <c r="G152" s="104"/>
      <c r="H152" s="99"/>
      <c r="I152" s="78"/>
      <c r="J152" s="99"/>
      <c r="K152" s="99"/>
      <c r="L152" s="99"/>
      <c r="M152" s="99"/>
      <c r="N152" s="65"/>
      <c r="O152" s="66" t="str">
        <f t="shared" si="1"/>
        <v/>
      </c>
      <c r="P152" s="78"/>
      <c r="Q152" s="65"/>
      <c r="R152" s="78"/>
      <c r="S152" s="54" t="str">
        <f>IF(OR(G152="",H152=""),"",IFERROR(G152*VLOOKUP(H152,Setup!$A$38:$E$52,5,FALSE),""))</f>
        <v/>
      </c>
      <c r="T152" s="54" t="str">
        <f>IF(S152="","",IFERROR(S152/VLOOKUP("EUR",Setup!$A$38:$E$52,5,FALSE),""))</f>
        <v/>
      </c>
      <c r="U152" s="54" t="str">
        <f>IF(S152="","",IFERROR(S152/VLOOKUP("USD",Setup!$A$38:$E$52,5,FALSE),""))</f>
        <v/>
      </c>
    </row>
    <row r="153" ht="24.0" customHeight="1">
      <c r="A153" s="78"/>
      <c r="B153" s="78"/>
      <c r="C153" s="78"/>
      <c r="D153" s="78"/>
      <c r="E153" s="78"/>
      <c r="F153" s="99"/>
      <c r="G153" s="104"/>
      <c r="H153" s="99"/>
      <c r="I153" s="78"/>
      <c r="J153" s="99"/>
      <c r="K153" s="99"/>
      <c r="L153" s="99"/>
      <c r="M153" s="99"/>
      <c r="N153" s="65"/>
      <c r="O153" s="66" t="str">
        <f t="shared" si="1"/>
        <v/>
      </c>
      <c r="P153" s="78"/>
      <c r="Q153" s="65"/>
      <c r="R153" s="78"/>
      <c r="S153" s="54" t="str">
        <f>IF(OR(G153="",H153=""),"",IFERROR(G153*VLOOKUP(H153,Setup!$A$38:$E$52,5,FALSE),""))</f>
        <v/>
      </c>
      <c r="T153" s="54" t="str">
        <f>IF(S153="","",IFERROR(S153/VLOOKUP("EUR",Setup!$A$38:$E$52,5,FALSE),""))</f>
        <v/>
      </c>
      <c r="U153" s="54" t="str">
        <f>IF(S153="","",IFERROR(S153/VLOOKUP("USD",Setup!$A$38:$E$52,5,FALSE),""))</f>
        <v/>
      </c>
    </row>
    <row r="154" ht="24.0" customHeight="1">
      <c r="A154" s="78"/>
      <c r="B154" s="78"/>
      <c r="C154" s="78"/>
      <c r="D154" s="78"/>
      <c r="E154" s="78"/>
      <c r="F154" s="99"/>
      <c r="G154" s="104"/>
      <c r="H154" s="99"/>
      <c r="I154" s="78"/>
      <c r="J154" s="99"/>
      <c r="K154" s="99"/>
      <c r="L154" s="99"/>
      <c r="M154" s="99"/>
      <c r="N154" s="65"/>
      <c r="O154" s="66" t="str">
        <f t="shared" si="1"/>
        <v/>
      </c>
      <c r="P154" s="78"/>
      <c r="Q154" s="65"/>
      <c r="R154" s="78"/>
      <c r="S154" s="54" t="str">
        <f>IF(OR(G154="",H154=""),"",IFERROR(G154*VLOOKUP(H154,Setup!$A$38:$E$52,5,FALSE),""))</f>
        <v/>
      </c>
      <c r="T154" s="54" t="str">
        <f>IF(S154="","",IFERROR(S154/VLOOKUP("EUR",Setup!$A$38:$E$52,5,FALSE),""))</f>
        <v/>
      </c>
      <c r="U154" s="54" t="str">
        <f>IF(S154="","",IFERROR(S154/VLOOKUP("USD",Setup!$A$38:$E$52,5,FALSE),""))</f>
        <v/>
      </c>
    </row>
    <row r="155" ht="24.0" customHeight="1">
      <c r="A155" s="78"/>
      <c r="B155" s="78"/>
      <c r="C155" s="78"/>
      <c r="D155" s="78"/>
      <c r="E155" s="78"/>
      <c r="F155" s="99"/>
      <c r="G155" s="104"/>
      <c r="H155" s="99"/>
      <c r="I155" s="78"/>
      <c r="J155" s="99"/>
      <c r="K155" s="99"/>
      <c r="L155" s="99"/>
      <c r="M155" s="99"/>
      <c r="N155" s="65"/>
      <c r="O155" s="66" t="str">
        <f t="shared" si="1"/>
        <v/>
      </c>
      <c r="P155" s="78"/>
      <c r="Q155" s="65"/>
      <c r="R155" s="78"/>
      <c r="S155" s="54" t="str">
        <f>IF(OR(G155="",H155=""),"",IFERROR(G155*VLOOKUP(H155,Setup!$A$38:$E$52,5,FALSE),""))</f>
        <v/>
      </c>
      <c r="T155" s="54" t="str">
        <f>IF(S155="","",IFERROR(S155/VLOOKUP("EUR",Setup!$A$38:$E$52,5,FALSE),""))</f>
        <v/>
      </c>
      <c r="U155" s="54" t="str">
        <f>IF(S155="","",IFERROR(S155/VLOOKUP("USD",Setup!$A$38:$E$52,5,FALSE),""))</f>
        <v/>
      </c>
    </row>
    <row r="156" ht="24.0" customHeight="1">
      <c r="A156" s="78"/>
      <c r="B156" s="78"/>
      <c r="C156" s="78"/>
      <c r="D156" s="78"/>
      <c r="E156" s="78"/>
      <c r="F156" s="99"/>
      <c r="G156" s="104"/>
      <c r="H156" s="99"/>
      <c r="I156" s="78"/>
      <c r="J156" s="99"/>
      <c r="K156" s="99"/>
      <c r="L156" s="99"/>
      <c r="M156" s="99"/>
      <c r="N156" s="65"/>
      <c r="O156" s="66" t="str">
        <f t="shared" si="1"/>
        <v/>
      </c>
      <c r="P156" s="78"/>
      <c r="Q156" s="65"/>
      <c r="R156" s="78"/>
      <c r="S156" s="54" t="str">
        <f>IF(OR(G156="",H156=""),"",IFERROR(G156*VLOOKUP(H156,Setup!$A$38:$E$52,5,FALSE),""))</f>
        <v/>
      </c>
      <c r="T156" s="54" t="str">
        <f>IF(S156="","",IFERROR(S156/VLOOKUP("EUR",Setup!$A$38:$E$52,5,FALSE),""))</f>
        <v/>
      </c>
      <c r="U156" s="54" t="str">
        <f>IF(S156="","",IFERROR(S156/VLOOKUP("USD",Setup!$A$38:$E$52,5,FALSE),""))</f>
        <v/>
      </c>
    </row>
    <row r="157" ht="24.0" customHeight="1">
      <c r="A157" s="78"/>
      <c r="B157" s="78"/>
      <c r="C157" s="78"/>
      <c r="D157" s="78"/>
      <c r="E157" s="78"/>
      <c r="F157" s="99"/>
      <c r="G157" s="104"/>
      <c r="H157" s="99"/>
      <c r="I157" s="78"/>
      <c r="J157" s="99"/>
      <c r="K157" s="99"/>
      <c r="L157" s="99"/>
      <c r="M157" s="99"/>
      <c r="N157" s="65"/>
      <c r="O157" s="66" t="str">
        <f t="shared" si="1"/>
        <v/>
      </c>
      <c r="P157" s="78"/>
      <c r="Q157" s="65"/>
      <c r="R157" s="78"/>
      <c r="S157" s="54" t="str">
        <f>IF(OR(G157="",H157=""),"",IFERROR(G157*VLOOKUP(H157,Setup!$A$38:$E$52,5,FALSE),""))</f>
        <v/>
      </c>
      <c r="T157" s="54" t="str">
        <f>IF(S157="","",IFERROR(S157/VLOOKUP("EUR",Setup!$A$38:$E$52,5,FALSE),""))</f>
        <v/>
      </c>
      <c r="U157" s="54" t="str">
        <f>IF(S157="","",IFERROR(S157/VLOOKUP("USD",Setup!$A$38:$E$52,5,FALSE),""))</f>
        <v/>
      </c>
    </row>
    <row r="158" ht="24.0" customHeight="1">
      <c r="A158" s="78"/>
      <c r="B158" s="78"/>
      <c r="C158" s="78"/>
      <c r="D158" s="78"/>
      <c r="E158" s="78"/>
      <c r="F158" s="99"/>
      <c r="G158" s="104"/>
      <c r="H158" s="99"/>
      <c r="I158" s="78"/>
      <c r="J158" s="99"/>
      <c r="K158" s="99"/>
      <c r="L158" s="99"/>
      <c r="M158" s="99"/>
      <c r="N158" s="65"/>
      <c r="O158" s="66" t="str">
        <f t="shared" si="1"/>
        <v/>
      </c>
      <c r="P158" s="78"/>
      <c r="Q158" s="65"/>
      <c r="R158" s="78"/>
      <c r="S158" s="54" t="str">
        <f>IF(OR(G158="",H158=""),"",IFERROR(G158*VLOOKUP(H158,Setup!$A$38:$E$52,5,FALSE),""))</f>
        <v/>
      </c>
      <c r="T158" s="54" t="str">
        <f>IF(S158="","",IFERROR(S158/VLOOKUP("EUR",Setup!$A$38:$E$52,5,FALSE),""))</f>
        <v/>
      </c>
      <c r="U158" s="54" t="str">
        <f>IF(S158="","",IFERROR(S158/VLOOKUP("USD",Setup!$A$38:$E$52,5,FALSE),""))</f>
        <v/>
      </c>
    </row>
    <row r="159" ht="24.0" customHeight="1">
      <c r="A159" s="78"/>
      <c r="B159" s="78"/>
      <c r="C159" s="78"/>
      <c r="D159" s="78"/>
      <c r="E159" s="78"/>
      <c r="F159" s="99"/>
      <c r="G159" s="104"/>
      <c r="H159" s="99"/>
      <c r="I159" s="78"/>
      <c r="J159" s="99"/>
      <c r="K159" s="99"/>
      <c r="L159" s="99"/>
      <c r="M159" s="99"/>
      <c r="N159" s="65"/>
      <c r="O159" s="66" t="str">
        <f t="shared" si="1"/>
        <v/>
      </c>
      <c r="P159" s="78"/>
      <c r="Q159" s="65"/>
      <c r="R159" s="78"/>
      <c r="S159" s="54" t="str">
        <f>IF(OR(G159="",H159=""),"",IFERROR(G159*VLOOKUP(H159,Setup!$A$38:$E$52,5,FALSE),""))</f>
        <v/>
      </c>
      <c r="T159" s="54" t="str">
        <f>IF(S159="","",IFERROR(S159/VLOOKUP("EUR",Setup!$A$38:$E$52,5,FALSE),""))</f>
        <v/>
      </c>
      <c r="U159" s="54" t="str">
        <f>IF(S159="","",IFERROR(S159/VLOOKUP("USD",Setup!$A$38:$E$52,5,FALSE),""))</f>
        <v/>
      </c>
    </row>
    <row r="160" ht="24.0" customHeight="1">
      <c r="A160" s="78"/>
      <c r="B160" s="78"/>
      <c r="C160" s="78"/>
      <c r="D160" s="78"/>
      <c r="E160" s="78"/>
      <c r="F160" s="99"/>
      <c r="G160" s="104"/>
      <c r="H160" s="99"/>
      <c r="I160" s="78"/>
      <c r="J160" s="99"/>
      <c r="K160" s="99"/>
      <c r="L160" s="99"/>
      <c r="M160" s="99"/>
      <c r="N160" s="65"/>
      <c r="O160" s="66" t="str">
        <f t="shared" si="1"/>
        <v/>
      </c>
      <c r="P160" s="78"/>
      <c r="Q160" s="65"/>
      <c r="R160" s="78"/>
      <c r="S160" s="54" t="str">
        <f>IF(OR(G160="",H160=""),"",IFERROR(G160*VLOOKUP(H160,Setup!$A$38:$E$52,5,FALSE),""))</f>
        <v/>
      </c>
      <c r="T160" s="54" t="str">
        <f>IF(S160="","",IFERROR(S160/VLOOKUP("EUR",Setup!$A$38:$E$52,5,FALSE),""))</f>
        <v/>
      </c>
      <c r="U160" s="54" t="str">
        <f>IF(S160="","",IFERROR(S160/VLOOKUP("USD",Setup!$A$38:$E$52,5,FALSE),""))</f>
        <v/>
      </c>
    </row>
    <row r="161" ht="24.0" customHeight="1">
      <c r="A161" s="78"/>
      <c r="B161" s="78"/>
      <c r="C161" s="78"/>
      <c r="D161" s="78"/>
      <c r="E161" s="78"/>
      <c r="F161" s="99"/>
      <c r="G161" s="104"/>
      <c r="H161" s="99"/>
      <c r="I161" s="78"/>
      <c r="J161" s="99"/>
      <c r="K161" s="99"/>
      <c r="L161" s="99"/>
      <c r="M161" s="99"/>
      <c r="N161" s="65"/>
      <c r="O161" s="66" t="str">
        <f t="shared" si="1"/>
        <v/>
      </c>
      <c r="P161" s="78"/>
      <c r="Q161" s="65"/>
      <c r="R161" s="78"/>
      <c r="S161" s="54" t="str">
        <f>IF(OR(G161="",H161=""),"",IFERROR(G161*VLOOKUP(H161,Setup!$A$38:$E$52,5,FALSE),""))</f>
        <v/>
      </c>
      <c r="T161" s="54" t="str">
        <f>IF(S161="","",IFERROR(S161/VLOOKUP("EUR",Setup!$A$38:$E$52,5,FALSE),""))</f>
        <v/>
      </c>
      <c r="U161" s="54" t="str">
        <f>IF(S161="","",IFERROR(S161/VLOOKUP("USD",Setup!$A$38:$E$52,5,FALSE),""))</f>
        <v/>
      </c>
    </row>
    <row r="162" ht="24.0" customHeight="1">
      <c r="A162" s="78"/>
      <c r="B162" s="78"/>
      <c r="C162" s="78"/>
      <c r="D162" s="78"/>
      <c r="E162" s="78"/>
      <c r="F162" s="99"/>
      <c r="G162" s="104"/>
      <c r="H162" s="99"/>
      <c r="I162" s="78"/>
      <c r="J162" s="99"/>
      <c r="K162" s="99"/>
      <c r="L162" s="99"/>
      <c r="M162" s="99"/>
      <c r="N162" s="65"/>
      <c r="O162" s="66" t="str">
        <f t="shared" si="1"/>
        <v/>
      </c>
      <c r="P162" s="78"/>
      <c r="Q162" s="65"/>
      <c r="R162" s="78"/>
      <c r="S162" s="54" t="str">
        <f>IF(OR(G162="",H162=""),"",IFERROR(G162*VLOOKUP(H162,Setup!$A$38:$E$52,5,FALSE),""))</f>
        <v/>
      </c>
      <c r="T162" s="54" t="str">
        <f>IF(S162="","",IFERROR(S162/VLOOKUP("EUR",Setup!$A$38:$E$52,5,FALSE),""))</f>
        <v/>
      </c>
      <c r="U162" s="54" t="str">
        <f>IF(S162="","",IFERROR(S162/VLOOKUP("USD",Setup!$A$38:$E$52,5,FALSE),""))</f>
        <v/>
      </c>
    </row>
    <row r="163" ht="24.0" customHeight="1">
      <c r="A163" s="78"/>
      <c r="B163" s="78"/>
      <c r="C163" s="78"/>
      <c r="D163" s="78"/>
      <c r="E163" s="78"/>
      <c r="F163" s="99"/>
      <c r="G163" s="104"/>
      <c r="H163" s="99"/>
      <c r="I163" s="78"/>
      <c r="J163" s="99"/>
      <c r="K163" s="99"/>
      <c r="L163" s="99"/>
      <c r="M163" s="99"/>
      <c r="N163" s="65"/>
      <c r="O163" s="66" t="str">
        <f t="shared" si="1"/>
        <v/>
      </c>
      <c r="P163" s="78"/>
      <c r="Q163" s="65"/>
      <c r="R163" s="78"/>
      <c r="S163" s="54" t="str">
        <f>IF(OR(G163="",H163=""),"",IFERROR(G163*VLOOKUP(H163,Setup!$A$38:$E$52,5,FALSE),""))</f>
        <v/>
      </c>
      <c r="T163" s="54" t="str">
        <f>IF(S163="","",IFERROR(S163/VLOOKUP("EUR",Setup!$A$38:$E$52,5,FALSE),""))</f>
        <v/>
      </c>
      <c r="U163" s="54" t="str">
        <f>IF(S163="","",IFERROR(S163/VLOOKUP("USD",Setup!$A$38:$E$52,5,FALSE),""))</f>
        <v/>
      </c>
    </row>
    <row r="164" ht="24.0" customHeight="1">
      <c r="A164" s="78"/>
      <c r="B164" s="78"/>
      <c r="C164" s="78"/>
      <c r="D164" s="78"/>
      <c r="E164" s="78"/>
      <c r="F164" s="99"/>
      <c r="G164" s="104"/>
      <c r="H164" s="99"/>
      <c r="I164" s="78"/>
      <c r="J164" s="99"/>
      <c r="K164" s="99"/>
      <c r="L164" s="99"/>
      <c r="M164" s="99"/>
      <c r="N164" s="65"/>
      <c r="O164" s="66" t="str">
        <f t="shared" si="1"/>
        <v/>
      </c>
      <c r="P164" s="78"/>
      <c r="Q164" s="65"/>
      <c r="R164" s="78"/>
      <c r="S164" s="54" t="str">
        <f>IF(OR(G164="",H164=""),"",IFERROR(G164*VLOOKUP(H164,Setup!$A$38:$E$52,5,FALSE),""))</f>
        <v/>
      </c>
      <c r="T164" s="54" t="str">
        <f>IF(S164="","",IFERROR(S164/VLOOKUP("EUR",Setup!$A$38:$E$52,5,FALSE),""))</f>
        <v/>
      </c>
      <c r="U164" s="54" t="str">
        <f>IF(S164="","",IFERROR(S164/VLOOKUP("USD",Setup!$A$38:$E$52,5,FALSE),""))</f>
        <v/>
      </c>
    </row>
    <row r="165" ht="24.0" customHeight="1">
      <c r="A165" s="78"/>
      <c r="B165" s="78"/>
      <c r="C165" s="78"/>
      <c r="D165" s="78"/>
      <c r="E165" s="78"/>
      <c r="F165" s="99"/>
      <c r="G165" s="104"/>
      <c r="H165" s="99"/>
      <c r="I165" s="78"/>
      <c r="J165" s="99"/>
      <c r="K165" s="99"/>
      <c r="L165" s="99"/>
      <c r="M165" s="99"/>
      <c r="N165" s="65"/>
      <c r="O165" s="66" t="str">
        <f t="shared" si="1"/>
        <v/>
      </c>
      <c r="P165" s="78"/>
      <c r="Q165" s="65"/>
      <c r="R165" s="78"/>
      <c r="S165" s="54" t="str">
        <f>IF(OR(G165="",H165=""),"",IFERROR(G165*VLOOKUP(H165,Setup!$A$38:$E$52,5,FALSE),""))</f>
        <v/>
      </c>
      <c r="T165" s="54" t="str">
        <f>IF(S165="","",IFERROR(S165/VLOOKUP("EUR",Setup!$A$38:$E$52,5,FALSE),""))</f>
        <v/>
      </c>
      <c r="U165" s="54" t="str">
        <f>IF(S165="","",IFERROR(S165/VLOOKUP("USD",Setup!$A$38:$E$52,5,FALSE),""))</f>
        <v/>
      </c>
    </row>
    <row r="166" ht="24.0" customHeight="1">
      <c r="A166" s="78"/>
      <c r="B166" s="78"/>
      <c r="C166" s="78"/>
      <c r="D166" s="78"/>
      <c r="E166" s="78"/>
      <c r="F166" s="99"/>
      <c r="G166" s="104"/>
      <c r="H166" s="99"/>
      <c r="I166" s="78"/>
      <c r="J166" s="99"/>
      <c r="K166" s="99"/>
      <c r="L166" s="99"/>
      <c r="M166" s="99"/>
      <c r="N166" s="65"/>
      <c r="O166" s="66" t="str">
        <f t="shared" si="1"/>
        <v/>
      </c>
      <c r="P166" s="78"/>
      <c r="Q166" s="65"/>
      <c r="R166" s="78"/>
      <c r="S166" s="54" t="str">
        <f>IF(OR(G166="",H166=""),"",IFERROR(G166*VLOOKUP(H166,Setup!$A$38:$E$52,5,FALSE),""))</f>
        <v/>
      </c>
      <c r="T166" s="54" t="str">
        <f>IF(S166="","",IFERROR(S166/VLOOKUP("EUR",Setup!$A$38:$E$52,5,FALSE),""))</f>
        <v/>
      </c>
      <c r="U166" s="54" t="str">
        <f>IF(S166="","",IFERROR(S166/VLOOKUP("USD",Setup!$A$38:$E$52,5,FALSE),""))</f>
        <v/>
      </c>
    </row>
    <row r="167" ht="24.0" customHeight="1">
      <c r="A167" s="78"/>
      <c r="B167" s="78"/>
      <c r="C167" s="78"/>
      <c r="D167" s="78"/>
      <c r="E167" s="78"/>
      <c r="F167" s="99"/>
      <c r="G167" s="104"/>
      <c r="H167" s="99"/>
      <c r="I167" s="78"/>
      <c r="J167" s="99"/>
      <c r="K167" s="99"/>
      <c r="L167" s="99"/>
      <c r="M167" s="99"/>
      <c r="N167" s="65"/>
      <c r="O167" s="66" t="str">
        <f t="shared" si="1"/>
        <v/>
      </c>
      <c r="P167" s="78"/>
      <c r="Q167" s="65"/>
      <c r="R167" s="78"/>
      <c r="S167" s="54" t="str">
        <f>IF(OR(G167="",H167=""),"",IFERROR(G167*VLOOKUP(H167,Setup!$A$38:$E$52,5,FALSE),""))</f>
        <v/>
      </c>
      <c r="T167" s="54" t="str">
        <f>IF(S167="","",IFERROR(S167/VLOOKUP("EUR",Setup!$A$38:$E$52,5,FALSE),""))</f>
        <v/>
      </c>
      <c r="U167" s="54" t="str">
        <f>IF(S167="","",IFERROR(S167/VLOOKUP("USD",Setup!$A$38:$E$52,5,FALSE),""))</f>
        <v/>
      </c>
    </row>
    <row r="168" ht="24.0" customHeight="1">
      <c r="A168" s="78"/>
      <c r="B168" s="78"/>
      <c r="C168" s="78"/>
      <c r="D168" s="78"/>
      <c r="E168" s="78"/>
      <c r="F168" s="99"/>
      <c r="G168" s="104"/>
      <c r="H168" s="99"/>
      <c r="I168" s="78"/>
      <c r="J168" s="99"/>
      <c r="K168" s="99"/>
      <c r="L168" s="99"/>
      <c r="M168" s="99"/>
      <c r="N168" s="65"/>
      <c r="O168" s="66" t="str">
        <f t="shared" si="1"/>
        <v/>
      </c>
      <c r="P168" s="78"/>
      <c r="Q168" s="65"/>
      <c r="R168" s="78"/>
      <c r="S168" s="54" t="str">
        <f>IF(OR(G168="",H168=""),"",IFERROR(G168*VLOOKUP(H168,Setup!$A$38:$E$52,5,FALSE),""))</f>
        <v/>
      </c>
      <c r="T168" s="54" t="str">
        <f>IF(S168="","",IFERROR(S168/VLOOKUP("EUR",Setup!$A$38:$E$52,5,FALSE),""))</f>
        <v/>
      </c>
      <c r="U168" s="54" t="str">
        <f>IF(S168="","",IFERROR(S168/VLOOKUP("USD",Setup!$A$38:$E$52,5,FALSE),""))</f>
        <v/>
      </c>
    </row>
    <row r="169" ht="24.0" customHeight="1">
      <c r="A169" s="78"/>
      <c r="B169" s="78"/>
      <c r="C169" s="78"/>
      <c r="D169" s="78"/>
      <c r="E169" s="78"/>
      <c r="F169" s="99"/>
      <c r="G169" s="104"/>
      <c r="H169" s="99"/>
      <c r="I169" s="78"/>
      <c r="J169" s="99"/>
      <c r="K169" s="99"/>
      <c r="L169" s="99"/>
      <c r="M169" s="99"/>
      <c r="N169" s="65"/>
      <c r="O169" s="66" t="str">
        <f t="shared" si="1"/>
        <v/>
      </c>
      <c r="P169" s="78"/>
      <c r="Q169" s="65"/>
      <c r="R169" s="78"/>
      <c r="S169" s="54" t="str">
        <f>IF(OR(G169="",H169=""),"",IFERROR(G169*VLOOKUP(H169,Setup!$A$38:$E$52,5,FALSE),""))</f>
        <v/>
      </c>
      <c r="T169" s="54" t="str">
        <f>IF(S169="","",IFERROR(S169/VLOOKUP("EUR",Setup!$A$38:$E$52,5,FALSE),""))</f>
        <v/>
      </c>
      <c r="U169" s="54" t="str">
        <f>IF(S169="","",IFERROR(S169/VLOOKUP("USD",Setup!$A$38:$E$52,5,FALSE),""))</f>
        <v/>
      </c>
    </row>
    <row r="170" ht="24.0" customHeight="1">
      <c r="A170" s="78"/>
      <c r="B170" s="78"/>
      <c r="C170" s="78"/>
      <c r="D170" s="78"/>
      <c r="E170" s="78"/>
      <c r="F170" s="99"/>
      <c r="G170" s="104"/>
      <c r="H170" s="99"/>
      <c r="I170" s="78"/>
      <c r="J170" s="99"/>
      <c r="K170" s="99"/>
      <c r="L170" s="99"/>
      <c r="M170" s="99"/>
      <c r="N170" s="65"/>
      <c r="O170" s="66" t="str">
        <f t="shared" si="1"/>
        <v/>
      </c>
      <c r="P170" s="78"/>
      <c r="Q170" s="65"/>
      <c r="R170" s="78"/>
      <c r="S170" s="54" t="str">
        <f>IF(OR(G170="",H170=""),"",IFERROR(G170*VLOOKUP(H170,Setup!$A$38:$E$52,5,FALSE),""))</f>
        <v/>
      </c>
      <c r="T170" s="54" t="str">
        <f>IF(S170="","",IFERROR(S170/VLOOKUP("EUR",Setup!$A$38:$E$52,5,FALSE),""))</f>
        <v/>
      </c>
      <c r="U170" s="54" t="str">
        <f>IF(S170="","",IFERROR(S170/VLOOKUP("USD",Setup!$A$38:$E$52,5,FALSE),""))</f>
        <v/>
      </c>
    </row>
    <row r="171" ht="24.0" customHeight="1">
      <c r="A171" s="78"/>
      <c r="B171" s="78"/>
      <c r="C171" s="78"/>
      <c r="D171" s="78"/>
      <c r="E171" s="78"/>
      <c r="F171" s="99"/>
      <c r="G171" s="104"/>
      <c r="H171" s="99"/>
      <c r="I171" s="78"/>
      <c r="J171" s="99"/>
      <c r="K171" s="99"/>
      <c r="L171" s="99"/>
      <c r="M171" s="99"/>
      <c r="N171" s="65"/>
      <c r="O171" s="66" t="str">
        <f t="shared" si="1"/>
        <v/>
      </c>
      <c r="P171" s="78"/>
      <c r="Q171" s="65"/>
      <c r="R171" s="78"/>
      <c r="S171" s="54" t="str">
        <f>IF(OR(G171="",H171=""),"",IFERROR(G171*VLOOKUP(H171,Setup!$A$38:$E$52,5,FALSE),""))</f>
        <v/>
      </c>
      <c r="T171" s="54" t="str">
        <f>IF(S171="","",IFERROR(S171/VLOOKUP("EUR",Setup!$A$38:$E$52,5,FALSE),""))</f>
        <v/>
      </c>
      <c r="U171" s="54" t="str">
        <f>IF(S171="","",IFERROR(S171/VLOOKUP("USD",Setup!$A$38:$E$52,5,FALSE),""))</f>
        <v/>
      </c>
    </row>
    <row r="172" ht="24.0" customHeight="1">
      <c r="A172" s="78"/>
      <c r="B172" s="78"/>
      <c r="C172" s="78"/>
      <c r="D172" s="78"/>
      <c r="E172" s="78"/>
      <c r="F172" s="99"/>
      <c r="G172" s="104"/>
      <c r="H172" s="99"/>
      <c r="I172" s="78"/>
      <c r="J172" s="99"/>
      <c r="K172" s="99"/>
      <c r="L172" s="99"/>
      <c r="M172" s="99"/>
      <c r="N172" s="65"/>
      <c r="O172" s="66" t="str">
        <f t="shared" si="1"/>
        <v/>
      </c>
      <c r="P172" s="78"/>
      <c r="Q172" s="65"/>
      <c r="R172" s="78"/>
      <c r="S172" s="54" t="str">
        <f>IF(OR(G172="",H172=""),"",IFERROR(G172*VLOOKUP(H172,Setup!$A$38:$E$52,5,FALSE),""))</f>
        <v/>
      </c>
      <c r="T172" s="54" t="str">
        <f>IF(S172="","",IFERROR(S172/VLOOKUP("EUR",Setup!$A$38:$E$52,5,FALSE),""))</f>
        <v/>
      </c>
      <c r="U172" s="54" t="str">
        <f>IF(S172="","",IFERROR(S172/VLOOKUP("USD",Setup!$A$38:$E$52,5,FALSE),""))</f>
        <v/>
      </c>
    </row>
    <row r="173" ht="24.0" customHeight="1">
      <c r="A173" s="78"/>
      <c r="B173" s="78"/>
      <c r="C173" s="78"/>
      <c r="D173" s="78"/>
      <c r="E173" s="78"/>
      <c r="F173" s="99"/>
      <c r="G173" s="104"/>
      <c r="H173" s="99"/>
      <c r="I173" s="78"/>
      <c r="J173" s="99"/>
      <c r="K173" s="99"/>
      <c r="L173" s="99"/>
      <c r="M173" s="99"/>
      <c r="N173" s="65"/>
      <c r="O173" s="66" t="str">
        <f t="shared" si="1"/>
        <v/>
      </c>
      <c r="P173" s="78"/>
      <c r="Q173" s="65"/>
      <c r="R173" s="78"/>
      <c r="S173" s="54" t="str">
        <f>IF(OR(G173="",H173=""),"",IFERROR(G173*VLOOKUP(H173,Setup!$A$38:$E$52,5,FALSE),""))</f>
        <v/>
      </c>
      <c r="T173" s="54" t="str">
        <f>IF(S173="","",IFERROR(S173/VLOOKUP("EUR",Setup!$A$38:$E$52,5,FALSE),""))</f>
        <v/>
      </c>
      <c r="U173" s="54" t="str">
        <f>IF(S173="","",IFERROR(S173/VLOOKUP("USD",Setup!$A$38:$E$52,5,FALSE),""))</f>
        <v/>
      </c>
    </row>
    <row r="174" ht="24.0" customHeight="1">
      <c r="A174" s="78"/>
      <c r="B174" s="78"/>
      <c r="C174" s="78"/>
      <c r="D174" s="78"/>
      <c r="E174" s="78"/>
      <c r="F174" s="99"/>
      <c r="G174" s="104"/>
      <c r="H174" s="99"/>
      <c r="I174" s="78"/>
      <c r="J174" s="99"/>
      <c r="K174" s="99"/>
      <c r="L174" s="99"/>
      <c r="M174" s="99"/>
      <c r="N174" s="65"/>
      <c r="O174" s="66" t="str">
        <f t="shared" si="1"/>
        <v/>
      </c>
      <c r="P174" s="78"/>
      <c r="Q174" s="65"/>
      <c r="R174" s="78"/>
      <c r="S174" s="54" t="str">
        <f>IF(OR(G174="",H174=""),"",IFERROR(G174*VLOOKUP(H174,Setup!$A$38:$E$52,5,FALSE),""))</f>
        <v/>
      </c>
      <c r="T174" s="54" t="str">
        <f>IF(S174="","",IFERROR(S174/VLOOKUP("EUR",Setup!$A$38:$E$52,5,FALSE),""))</f>
        <v/>
      </c>
      <c r="U174" s="54" t="str">
        <f>IF(S174="","",IFERROR(S174/VLOOKUP("USD",Setup!$A$38:$E$52,5,FALSE),""))</f>
        <v/>
      </c>
    </row>
    <row r="175" ht="24.0" customHeight="1">
      <c r="A175" s="78"/>
      <c r="B175" s="78"/>
      <c r="C175" s="78"/>
      <c r="D175" s="78"/>
      <c r="E175" s="78"/>
      <c r="F175" s="99"/>
      <c r="G175" s="104"/>
      <c r="H175" s="99"/>
      <c r="I175" s="78"/>
      <c r="J175" s="99"/>
      <c r="K175" s="99"/>
      <c r="L175" s="99"/>
      <c r="M175" s="99"/>
      <c r="N175" s="65"/>
      <c r="O175" s="66" t="str">
        <f t="shared" si="1"/>
        <v/>
      </c>
      <c r="P175" s="78"/>
      <c r="Q175" s="65"/>
      <c r="R175" s="78"/>
      <c r="S175" s="54" t="str">
        <f>IF(OR(G175="",H175=""),"",IFERROR(G175*VLOOKUP(H175,Setup!$A$38:$E$52,5,FALSE),""))</f>
        <v/>
      </c>
      <c r="T175" s="54" t="str">
        <f>IF(S175="","",IFERROR(S175/VLOOKUP("EUR",Setup!$A$38:$E$52,5,FALSE),""))</f>
        <v/>
      </c>
      <c r="U175" s="54" t="str">
        <f>IF(S175="","",IFERROR(S175/VLOOKUP("USD",Setup!$A$38:$E$52,5,FALSE),""))</f>
        <v/>
      </c>
    </row>
    <row r="176" ht="24.0" customHeight="1">
      <c r="A176" s="78"/>
      <c r="B176" s="78"/>
      <c r="C176" s="78"/>
      <c r="D176" s="78"/>
      <c r="E176" s="78"/>
      <c r="F176" s="99"/>
      <c r="G176" s="104"/>
      <c r="H176" s="99"/>
      <c r="I176" s="78"/>
      <c r="J176" s="99"/>
      <c r="K176" s="99"/>
      <c r="L176" s="99"/>
      <c r="M176" s="99"/>
      <c r="N176" s="65"/>
      <c r="O176" s="66" t="str">
        <f t="shared" si="1"/>
        <v/>
      </c>
      <c r="P176" s="78"/>
      <c r="Q176" s="65"/>
      <c r="R176" s="78"/>
      <c r="S176" s="54" t="str">
        <f>IF(OR(G176="",H176=""),"",IFERROR(G176*VLOOKUP(H176,Setup!$A$38:$E$52,5,FALSE),""))</f>
        <v/>
      </c>
      <c r="T176" s="54" t="str">
        <f>IF(S176="","",IFERROR(S176/VLOOKUP("EUR",Setup!$A$38:$E$52,5,FALSE),""))</f>
        <v/>
      </c>
      <c r="U176" s="54" t="str">
        <f>IF(S176="","",IFERROR(S176/VLOOKUP("USD",Setup!$A$38:$E$52,5,FALSE),""))</f>
        <v/>
      </c>
    </row>
    <row r="177" ht="24.0" customHeight="1">
      <c r="A177" s="78"/>
      <c r="B177" s="78"/>
      <c r="C177" s="78"/>
      <c r="D177" s="78"/>
      <c r="E177" s="78"/>
      <c r="F177" s="99"/>
      <c r="G177" s="104"/>
      <c r="H177" s="99"/>
      <c r="I177" s="78"/>
      <c r="J177" s="99"/>
      <c r="K177" s="99"/>
      <c r="L177" s="99"/>
      <c r="M177" s="99"/>
      <c r="N177" s="65"/>
      <c r="O177" s="66" t="str">
        <f t="shared" si="1"/>
        <v/>
      </c>
      <c r="P177" s="78"/>
      <c r="Q177" s="65"/>
      <c r="R177" s="78"/>
      <c r="S177" s="54" t="str">
        <f>IF(OR(G177="",H177=""),"",IFERROR(G177*VLOOKUP(H177,Setup!$A$38:$E$52,5,FALSE),""))</f>
        <v/>
      </c>
      <c r="T177" s="54" t="str">
        <f>IF(S177="","",IFERROR(S177/VLOOKUP("EUR",Setup!$A$38:$E$52,5,FALSE),""))</f>
        <v/>
      </c>
      <c r="U177" s="54" t="str">
        <f>IF(S177="","",IFERROR(S177/VLOOKUP("USD",Setup!$A$38:$E$52,5,FALSE),""))</f>
        <v/>
      </c>
    </row>
    <row r="178" ht="24.0" customHeight="1">
      <c r="A178" s="78"/>
      <c r="B178" s="78"/>
      <c r="C178" s="78"/>
      <c r="D178" s="78"/>
      <c r="E178" s="78"/>
      <c r="F178" s="99"/>
      <c r="G178" s="104"/>
      <c r="H178" s="99"/>
      <c r="I178" s="78"/>
      <c r="J178" s="99"/>
      <c r="K178" s="99"/>
      <c r="L178" s="99"/>
      <c r="M178" s="99"/>
      <c r="N178" s="65"/>
      <c r="O178" s="66" t="str">
        <f t="shared" si="1"/>
        <v/>
      </c>
      <c r="P178" s="78"/>
      <c r="Q178" s="65"/>
      <c r="R178" s="78"/>
      <c r="S178" s="54" t="str">
        <f>IF(OR(G178="",H178=""),"",IFERROR(G178*VLOOKUP(H178,Setup!$A$38:$E$52,5,FALSE),""))</f>
        <v/>
      </c>
      <c r="T178" s="54" t="str">
        <f>IF(S178="","",IFERROR(S178/VLOOKUP("EUR",Setup!$A$38:$E$52,5,FALSE),""))</f>
        <v/>
      </c>
      <c r="U178" s="54" t="str">
        <f>IF(S178="","",IFERROR(S178/VLOOKUP("USD",Setup!$A$38:$E$52,5,FALSE),""))</f>
        <v/>
      </c>
    </row>
    <row r="179" ht="24.0" customHeight="1">
      <c r="A179" s="78"/>
      <c r="B179" s="78"/>
      <c r="C179" s="78"/>
      <c r="D179" s="78"/>
      <c r="E179" s="78"/>
      <c r="F179" s="99"/>
      <c r="G179" s="104"/>
      <c r="H179" s="99"/>
      <c r="I179" s="78"/>
      <c r="J179" s="99"/>
      <c r="K179" s="99"/>
      <c r="L179" s="99"/>
      <c r="M179" s="99"/>
      <c r="N179" s="65"/>
      <c r="O179" s="66" t="str">
        <f t="shared" si="1"/>
        <v/>
      </c>
      <c r="P179" s="78"/>
      <c r="Q179" s="65"/>
      <c r="R179" s="78"/>
      <c r="S179" s="54" t="str">
        <f>IF(OR(G179="",H179=""),"",IFERROR(G179*VLOOKUP(H179,Setup!$A$38:$E$52,5,FALSE),""))</f>
        <v/>
      </c>
      <c r="T179" s="54" t="str">
        <f>IF(S179="","",IFERROR(S179/VLOOKUP("EUR",Setup!$A$38:$E$52,5,FALSE),""))</f>
        <v/>
      </c>
      <c r="U179" s="54" t="str">
        <f>IF(S179="","",IFERROR(S179/VLOOKUP("USD",Setup!$A$38:$E$52,5,FALSE),""))</f>
        <v/>
      </c>
    </row>
    <row r="180" ht="24.0" customHeight="1">
      <c r="A180" s="78"/>
      <c r="B180" s="78"/>
      <c r="C180" s="78"/>
      <c r="D180" s="78"/>
      <c r="E180" s="78"/>
      <c r="F180" s="99"/>
      <c r="G180" s="104"/>
      <c r="H180" s="99"/>
      <c r="I180" s="78"/>
      <c r="J180" s="99"/>
      <c r="K180" s="99"/>
      <c r="L180" s="99"/>
      <c r="M180" s="99"/>
      <c r="N180" s="65"/>
      <c r="O180" s="66" t="str">
        <f t="shared" si="1"/>
        <v/>
      </c>
      <c r="P180" s="78"/>
      <c r="Q180" s="65"/>
      <c r="R180" s="78"/>
      <c r="S180" s="54" t="str">
        <f>IF(OR(G180="",H180=""),"",IFERROR(G180*VLOOKUP(H180,Setup!$A$38:$E$52,5,FALSE),""))</f>
        <v/>
      </c>
      <c r="T180" s="54" t="str">
        <f>IF(S180="","",IFERROR(S180/VLOOKUP("EUR",Setup!$A$38:$E$52,5,FALSE),""))</f>
        <v/>
      </c>
      <c r="U180" s="54" t="str">
        <f>IF(S180="","",IFERROR(S180/VLOOKUP("USD",Setup!$A$38:$E$52,5,FALSE),""))</f>
        <v/>
      </c>
    </row>
    <row r="181" ht="24.0" customHeight="1">
      <c r="A181" s="78"/>
      <c r="B181" s="78"/>
      <c r="C181" s="78"/>
      <c r="D181" s="78"/>
      <c r="E181" s="78"/>
      <c r="F181" s="99"/>
      <c r="G181" s="104"/>
      <c r="H181" s="99"/>
      <c r="I181" s="78"/>
      <c r="J181" s="99"/>
      <c r="K181" s="99"/>
      <c r="L181" s="99"/>
      <c r="M181" s="99"/>
      <c r="N181" s="65"/>
      <c r="O181" s="66" t="str">
        <f t="shared" si="1"/>
        <v/>
      </c>
      <c r="P181" s="78"/>
      <c r="Q181" s="65"/>
      <c r="R181" s="78"/>
      <c r="S181" s="54" t="str">
        <f>IF(OR(G181="",H181=""),"",IFERROR(G181*VLOOKUP(H181,Setup!$A$38:$E$52,5,FALSE),""))</f>
        <v/>
      </c>
      <c r="T181" s="54" t="str">
        <f>IF(S181="","",IFERROR(S181/VLOOKUP("EUR",Setup!$A$38:$E$52,5,FALSE),""))</f>
        <v/>
      </c>
      <c r="U181" s="54" t="str">
        <f>IF(S181="","",IFERROR(S181/VLOOKUP("USD",Setup!$A$38:$E$52,5,FALSE),""))</f>
        <v/>
      </c>
    </row>
    <row r="182" ht="24.0" customHeight="1">
      <c r="A182" s="78"/>
      <c r="B182" s="78"/>
      <c r="C182" s="78"/>
      <c r="D182" s="78"/>
      <c r="E182" s="78"/>
      <c r="F182" s="99"/>
      <c r="G182" s="104"/>
      <c r="H182" s="99"/>
      <c r="I182" s="78"/>
      <c r="J182" s="99"/>
      <c r="K182" s="99"/>
      <c r="L182" s="99"/>
      <c r="M182" s="99"/>
      <c r="N182" s="65"/>
      <c r="O182" s="66" t="str">
        <f t="shared" si="1"/>
        <v/>
      </c>
      <c r="P182" s="78"/>
      <c r="Q182" s="65"/>
      <c r="R182" s="78"/>
      <c r="S182" s="54" t="str">
        <f>IF(OR(G182="",H182=""),"",IFERROR(G182*VLOOKUP(H182,Setup!$A$38:$E$52,5,FALSE),""))</f>
        <v/>
      </c>
      <c r="T182" s="54" t="str">
        <f>IF(S182="","",IFERROR(S182/VLOOKUP("EUR",Setup!$A$38:$E$52,5,FALSE),""))</f>
        <v/>
      </c>
      <c r="U182" s="54" t="str">
        <f>IF(S182="","",IFERROR(S182/VLOOKUP("USD",Setup!$A$38:$E$52,5,FALSE),""))</f>
        <v/>
      </c>
    </row>
    <row r="183" ht="24.0" customHeight="1">
      <c r="A183" s="78"/>
      <c r="B183" s="78"/>
      <c r="C183" s="78"/>
      <c r="D183" s="78"/>
      <c r="E183" s="78"/>
      <c r="F183" s="99"/>
      <c r="G183" s="104"/>
      <c r="H183" s="99"/>
      <c r="I183" s="78"/>
      <c r="J183" s="99"/>
      <c r="K183" s="99"/>
      <c r="L183" s="99"/>
      <c r="M183" s="99"/>
      <c r="N183" s="65"/>
      <c r="O183" s="66" t="str">
        <f t="shared" si="1"/>
        <v/>
      </c>
      <c r="P183" s="78"/>
      <c r="Q183" s="65"/>
      <c r="R183" s="78"/>
      <c r="S183" s="54" t="str">
        <f>IF(OR(G183="",H183=""),"",IFERROR(G183*VLOOKUP(H183,Setup!$A$38:$E$52,5,FALSE),""))</f>
        <v/>
      </c>
      <c r="T183" s="54" t="str">
        <f>IF(S183="","",IFERROR(S183/VLOOKUP("EUR",Setup!$A$38:$E$52,5,FALSE),""))</f>
        <v/>
      </c>
      <c r="U183" s="54" t="str">
        <f>IF(S183="","",IFERROR(S183/VLOOKUP("USD",Setup!$A$38:$E$52,5,FALSE),""))</f>
        <v/>
      </c>
    </row>
    <row r="184" ht="24.0" customHeight="1">
      <c r="A184" s="78"/>
      <c r="B184" s="78"/>
      <c r="C184" s="78"/>
      <c r="D184" s="78"/>
      <c r="E184" s="78"/>
      <c r="F184" s="99"/>
      <c r="G184" s="104"/>
      <c r="H184" s="99"/>
      <c r="I184" s="78"/>
      <c r="J184" s="99"/>
      <c r="K184" s="99"/>
      <c r="L184" s="99"/>
      <c r="M184" s="99"/>
      <c r="N184" s="65"/>
      <c r="O184" s="66" t="str">
        <f t="shared" si="1"/>
        <v/>
      </c>
      <c r="P184" s="78"/>
      <c r="Q184" s="65"/>
      <c r="R184" s="78"/>
      <c r="S184" s="54" t="str">
        <f>IF(OR(G184="",H184=""),"",IFERROR(G184*VLOOKUP(H184,Setup!$A$38:$E$52,5,FALSE),""))</f>
        <v/>
      </c>
      <c r="T184" s="54" t="str">
        <f>IF(S184="","",IFERROR(S184/VLOOKUP("EUR",Setup!$A$38:$E$52,5,FALSE),""))</f>
        <v/>
      </c>
      <c r="U184" s="54" t="str">
        <f>IF(S184="","",IFERROR(S184/VLOOKUP("USD",Setup!$A$38:$E$52,5,FALSE),""))</f>
        <v/>
      </c>
    </row>
    <row r="185" ht="24.0" customHeight="1">
      <c r="A185" s="78"/>
      <c r="B185" s="78"/>
      <c r="C185" s="78"/>
      <c r="D185" s="78"/>
      <c r="E185" s="78"/>
      <c r="F185" s="99"/>
      <c r="G185" s="104"/>
      <c r="H185" s="99"/>
      <c r="I185" s="78"/>
      <c r="J185" s="99"/>
      <c r="K185" s="99"/>
      <c r="L185" s="99"/>
      <c r="M185" s="99"/>
      <c r="N185" s="65"/>
      <c r="O185" s="66" t="str">
        <f t="shared" si="1"/>
        <v/>
      </c>
      <c r="P185" s="78"/>
      <c r="Q185" s="65"/>
      <c r="R185" s="78"/>
      <c r="S185" s="54" t="str">
        <f>IF(OR(G185="",H185=""),"",IFERROR(G185*VLOOKUP(H185,Setup!$A$38:$E$52,5,FALSE),""))</f>
        <v/>
      </c>
      <c r="T185" s="54" t="str">
        <f>IF(S185="","",IFERROR(S185/VLOOKUP("EUR",Setup!$A$38:$E$52,5,FALSE),""))</f>
        <v/>
      </c>
      <c r="U185" s="54" t="str">
        <f>IF(S185="","",IFERROR(S185/VLOOKUP("USD",Setup!$A$38:$E$52,5,FALSE),""))</f>
        <v/>
      </c>
    </row>
    <row r="186" ht="24.0" customHeight="1">
      <c r="A186" s="78"/>
      <c r="B186" s="78"/>
      <c r="C186" s="78"/>
      <c r="D186" s="78"/>
      <c r="E186" s="78"/>
      <c r="F186" s="99"/>
      <c r="G186" s="104"/>
      <c r="H186" s="99"/>
      <c r="I186" s="78"/>
      <c r="J186" s="99"/>
      <c r="K186" s="99"/>
      <c r="L186" s="99"/>
      <c r="M186" s="99"/>
      <c r="N186" s="65"/>
      <c r="O186" s="66" t="str">
        <f t="shared" si="1"/>
        <v/>
      </c>
      <c r="P186" s="78"/>
      <c r="Q186" s="65"/>
      <c r="R186" s="78"/>
      <c r="S186" s="54" t="str">
        <f>IF(OR(G186="",H186=""),"",IFERROR(G186*VLOOKUP(H186,Setup!$A$38:$E$52,5,FALSE),""))</f>
        <v/>
      </c>
      <c r="T186" s="54" t="str">
        <f>IF(S186="","",IFERROR(S186/VLOOKUP("EUR",Setup!$A$38:$E$52,5,FALSE),""))</f>
        <v/>
      </c>
      <c r="U186" s="54" t="str">
        <f>IF(S186="","",IFERROR(S186/VLOOKUP("USD",Setup!$A$38:$E$52,5,FALSE),""))</f>
        <v/>
      </c>
    </row>
    <row r="187" ht="24.0" customHeight="1">
      <c r="A187" s="78"/>
      <c r="B187" s="78"/>
      <c r="C187" s="78"/>
      <c r="D187" s="78"/>
      <c r="E187" s="78"/>
      <c r="F187" s="99"/>
      <c r="G187" s="104"/>
      <c r="H187" s="99"/>
      <c r="I187" s="78"/>
      <c r="J187" s="99"/>
      <c r="K187" s="99"/>
      <c r="L187" s="99"/>
      <c r="M187" s="99"/>
      <c r="N187" s="65"/>
      <c r="O187" s="66" t="str">
        <f t="shared" si="1"/>
        <v/>
      </c>
      <c r="P187" s="78"/>
      <c r="Q187" s="65"/>
      <c r="R187" s="78"/>
      <c r="S187" s="54" t="str">
        <f>IF(OR(G187="",H187=""),"",IFERROR(G187*VLOOKUP(H187,Setup!$A$38:$E$52,5,FALSE),""))</f>
        <v/>
      </c>
      <c r="T187" s="54" t="str">
        <f>IF(S187="","",IFERROR(S187/VLOOKUP("EUR",Setup!$A$38:$E$52,5,FALSE),""))</f>
        <v/>
      </c>
      <c r="U187" s="54" t="str">
        <f>IF(S187="","",IFERROR(S187/VLOOKUP("USD",Setup!$A$38:$E$52,5,FALSE),""))</f>
        <v/>
      </c>
    </row>
    <row r="188" ht="24.0" customHeight="1">
      <c r="A188" s="78"/>
      <c r="B188" s="78"/>
      <c r="C188" s="78"/>
      <c r="D188" s="78"/>
      <c r="E188" s="78"/>
      <c r="F188" s="99"/>
      <c r="G188" s="104"/>
      <c r="H188" s="99"/>
      <c r="I188" s="78"/>
      <c r="J188" s="99"/>
      <c r="K188" s="99"/>
      <c r="L188" s="99"/>
      <c r="M188" s="99"/>
      <c r="N188" s="65"/>
      <c r="O188" s="66" t="str">
        <f t="shared" si="1"/>
        <v/>
      </c>
      <c r="P188" s="78"/>
      <c r="Q188" s="65"/>
      <c r="R188" s="78"/>
      <c r="S188" s="54" t="str">
        <f>IF(OR(G188="",H188=""),"",IFERROR(G188*VLOOKUP(H188,Setup!$A$38:$E$52,5,FALSE),""))</f>
        <v/>
      </c>
      <c r="T188" s="54" t="str">
        <f>IF(S188="","",IFERROR(S188/VLOOKUP("EUR",Setup!$A$38:$E$52,5,FALSE),""))</f>
        <v/>
      </c>
      <c r="U188" s="54" t="str">
        <f>IF(S188="","",IFERROR(S188/VLOOKUP("USD",Setup!$A$38:$E$52,5,FALSE),""))</f>
        <v/>
      </c>
    </row>
    <row r="189" ht="24.0" customHeight="1">
      <c r="A189" s="78"/>
      <c r="B189" s="78"/>
      <c r="C189" s="78"/>
      <c r="D189" s="78"/>
      <c r="E189" s="78"/>
      <c r="F189" s="99"/>
      <c r="G189" s="104"/>
      <c r="H189" s="99"/>
      <c r="I189" s="78"/>
      <c r="J189" s="99"/>
      <c r="K189" s="99"/>
      <c r="L189" s="99"/>
      <c r="M189" s="99"/>
      <c r="N189" s="65"/>
      <c r="O189" s="66" t="str">
        <f t="shared" si="1"/>
        <v/>
      </c>
      <c r="P189" s="78"/>
      <c r="Q189" s="65"/>
      <c r="R189" s="78"/>
      <c r="S189" s="54" t="str">
        <f>IF(OR(G189="",H189=""),"",IFERROR(G189*VLOOKUP(H189,Setup!$A$38:$E$52,5,FALSE),""))</f>
        <v/>
      </c>
      <c r="T189" s="54" t="str">
        <f>IF(S189="","",IFERROR(S189/VLOOKUP("EUR",Setup!$A$38:$E$52,5,FALSE),""))</f>
        <v/>
      </c>
      <c r="U189" s="54" t="str">
        <f>IF(S189="","",IFERROR(S189/VLOOKUP("USD",Setup!$A$38:$E$52,5,FALSE),""))</f>
        <v/>
      </c>
    </row>
    <row r="190" ht="24.0" customHeight="1">
      <c r="A190" s="78"/>
      <c r="B190" s="78"/>
      <c r="C190" s="78"/>
      <c r="D190" s="78"/>
      <c r="E190" s="78"/>
      <c r="F190" s="99"/>
      <c r="G190" s="104"/>
      <c r="H190" s="99"/>
      <c r="I190" s="78"/>
      <c r="J190" s="99"/>
      <c r="K190" s="99"/>
      <c r="L190" s="99"/>
      <c r="M190" s="99"/>
      <c r="N190" s="65"/>
      <c r="O190" s="66" t="str">
        <f t="shared" si="1"/>
        <v/>
      </c>
      <c r="P190" s="78"/>
      <c r="Q190" s="65"/>
      <c r="R190" s="78"/>
      <c r="S190" s="54" t="str">
        <f>IF(OR(G190="",H190=""),"",IFERROR(G190*VLOOKUP(H190,Setup!$A$38:$E$52,5,FALSE),""))</f>
        <v/>
      </c>
      <c r="T190" s="54" t="str">
        <f>IF(S190="","",IFERROR(S190/VLOOKUP("EUR",Setup!$A$38:$E$52,5,FALSE),""))</f>
        <v/>
      </c>
      <c r="U190" s="54" t="str">
        <f>IF(S190="","",IFERROR(S190/VLOOKUP("USD",Setup!$A$38:$E$52,5,FALSE),""))</f>
        <v/>
      </c>
    </row>
    <row r="191" ht="24.0" customHeight="1">
      <c r="A191" s="78"/>
      <c r="B191" s="78"/>
      <c r="C191" s="78"/>
      <c r="D191" s="78"/>
      <c r="E191" s="78"/>
      <c r="F191" s="99"/>
      <c r="G191" s="104"/>
      <c r="H191" s="99"/>
      <c r="I191" s="78"/>
      <c r="J191" s="99"/>
      <c r="K191" s="99"/>
      <c r="L191" s="99"/>
      <c r="M191" s="99"/>
      <c r="N191" s="65"/>
      <c r="O191" s="66" t="str">
        <f t="shared" si="1"/>
        <v/>
      </c>
      <c r="P191" s="78"/>
      <c r="Q191" s="65"/>
      <c r="R191" s="78"/>
      <c r="S191" s="54" t="str">
        <f>IF(OR(G191="",H191=""),"",IFERROR(G191*VLOOKUP(H191,Setup!$A$38:$E$52,5,FALSE),""))</f>
        <v/>
      </c>
      <c r="T191" s="54" t="str">
        <f>IF(S191="","",IFERROR(S191/VLOOKUP("EUR",Setup!$A$38:$E$52,5,FALSE),""))</f>
        <v/>
      </c>
      <c r="U191" s="54" t="str">
        <f>IF(S191="","",IFERROR(S191/VLOOKUP("USD",Setup!$A$38:$E$52,5,FALSE),""))</f>
        <v/>
      </c>
    </row>
    <row r="192" ht="24.0" customHeight="1">
      <c r="A192" s="78"/>
      <c r="B192" s="78"/>
      <c r="C192" s="78"/>
      <c r="D192" s="78"/>
      <c r="E192" s="78"/>
      <c r="F192" s="99"/>
      <c r="G192" s="104"/>
      <c r="H192" s="99"/>
      <c r="I192" s="78"/>
      <c r="J192" s="99"/>
      <c r="K192" s="99"/>
      <c r="L192" s="99"/>
      <c r="M192" s="99"/>
      <c r="N192" s="65"/>
      <c r="O192" s="66" t="str">
        <f t="shared" si="1"/>
        <v/>
      </c>
      <c r="P192" s="78"/>
      <c r="Q192" s="65"/>
      <c r="R192" s="78"/>
      <c r="S192" s="54" t="str">
        <f>IF(OR(G192="",H192=""),"",IFERROR(G192*VLOOKUP(H192,Setup!$A$38:$E$52,5,FALSE),""))</f>
        <v/>
      </c>
      <c r="T192" s="54" t="str">
        <f>IF(S192="","",IFERROR(S192/VLOOKUP("EUR",Setup!$A$38:$E$52,5,FALSE),""))</f>
        <v/>
      </c>
      <c r="U192" s="54" t="str">
        <f>IF(S192="","",IFERROR(S192/VLOOKUP("USD",Setup!$A$38:$E$52,5,FALSE),""))</f>
        <v/>
      </c>
    </row>
    <row r="193" ht="24.0" customHeight="1">
      <c r="A193" s="78"/>
      <c r="B193" s="78"/>
      <c r="C193" s="78"/>
      <c r="D193" s="78"/>
      <c r="E193" s="78"/>
      <c r="F193" s="99"/>
      <c r="G193" s="104"/>
      <c r="H193" s="99"/>
      <c r="I193" s="78"/>
      <c r="J193" s="99"/>
      <c r="K193" s="99"/>
      <c r="L193" s="99"/>
      <c r="M193" s="99"/>
      <c r="N193" s="65"/>
      <c r="O193" s="66" t="str">
        <f t="shared" si="1"/>
        <v/>
      </c>
      <c r="P193" s="78"/>
      <c r="Q193" s="65"/>
      <c r="R193" s="78"/>
      <c r="S193" s="54" t="str">
        <f>IF(OR(G193="",H193=""),"",IFERROR(G193*VLOOKUP(H193,Setup!$A$38:$E$52,5,FALSE),""))</f>
        <v/>
      </c>
      <c r="T193" s="54" t="str">
        <f>IF(S193="","",IFERROR(S193/VLOOKUP("EUR",Setup!$A$38:$E$52,5,FALSE),""))</f>
        <v/>
      </c>
      <c r="U193" s="54" t="str">
        <f>IF(S193="","",IFERROR(S193/VLOOKUP("USD",Setup!$A$38:$E$52,5,FALSE),""))</f>
        <v/>
      </c>
    </row>
    <row r="194" ht="24.0" customHeight="1">
      <c r="A194" s="78"/>
      <c r="B194" s="78"/>
      <c r="C194" s="78"/>
      <c r="D194" s="78"/>
      <c r="E194" s="78"/>
      <c r="F194" s="99"/>
      <c r="G194" s="104"/>
      <c r="H194" s="99"/>
      <c r="I194" s="78"/>
      <c r="J194" s="99"/>
      <c r="K194" s="99"/>
      <c r="L194" s="99"/>
      <c r="M194" s="99"/>
      <c r="N194" s="65"/>
      <c r="O194" s="66" t="str">
        <f t="shared" si="1"/>
        <v/>
      </c>
      <c r="P194" s="78"/>
      <c r="Q194" s="65"/>
      <c r="R194" s="78"/>
      <c r="S194" s="54" t="str">
        <f>IF(OR(G194="",H194=""),"",IFERROR(G194*VLOOKUP(H194,Setup!$A$38:$E$52,5,FALSE),""))</f>
        <v/>
      </c>
      <c r="T194" s="54" t="str">
        <f>IF(S194="","",IFERROR(S194/VLOOKUP("EUR",Setup!$A$38:$E$52,5,FALSE),""))</f>
        <v/>
      </c>
      <c r="U194" s="54" t="str">
        <f>IF(S194="","",IFERROR(S194/VLOOKUP("USD",Setup!$A$38:$E$52,5,FALSE),""))</f>
        <v/>
      </c>
    </row>
    <row r="195" ht="24.0" customHeight="1">
      <c r="A195" s="78"/>
      <c r="B195" s="78"/>
      <c r="C195" s="78"/>
      <c r="D195" s="78"/>
      <c r="E195" s="78"/>
      <c r="F195" s="99"/>
      <c r="G195" s="104"/>
      <c r="H195" s="99"/>
      <c r="I195" s="78"/>
      <c r="J195" s="99"/>
      <c r="K195" s="99"/>
      <c r="L195" s="99"/>
      <c r="M195" s="99"/>
      <c r="N195" s="65"/>
      <c r="O195" s="66" t="str">
        <f t="shared" si="1"/>
        <v/>
      </c>
      <c r="P195" s="78"/>
      <c r="Q195" s="65"/>
      <c r="R195" s="78"/>
      <c r="S195" s="54" t="str">
        <f>IF(OR(G195="",H195=""),"",IFERROR(G195*VLOOKUP(H195,Setup!$A$38:$E$52,5,FALSE),""))</f>
        <v/>
      </c>
      <c r="T195" s="54" t="str">
        <f>IF(S195="","",IFERROR(S195/VLOOKUP("EUR",Setup!$A$38:$E$52,5,FALSE),""))</f>
        <v/>
      </c>
      <c r="U195" s="54" t="str">
        <f>IF(S195="","",IFERROR(S195/VLOOKUP("USD",Setup!$A$38:$E$52,5,FALSE),""))</f>
        <v/>
      </c>
    </row>
    <row r="196" ht="24.0" customHeight="1">
      <c r="A196" s="78"/>
      <c r="B196" s="78"/>
      <c r="C196" s="78"/>
      <c r="D196" s="78"/>
      <c r="E196" s="78"/>
      <c r="F196" s="99"/>
      <c r="G196" s="104"/>
      <c r="H196" s="99"/>
      <c r="I196" s="78"/>
      <c r="J196" s="99"/>
      <c r="K196" s="99"/>
      <c r="L196" s="99"/>
      <c r="M196" s="99"/>
      <c r="N196" s="65"/>
      <c r="O196" s="66" t="str">
        <f t="shared" si="1"/>
        <v/>
      </c>
      <c r="P196" s="78"/>
      <c r="Q196" s="65"/>
      <c r="R196" s="78"/>
      <c r="S196" s="54" t="str">
        <f>IF(OR(G196="",H196=""),"",IFERROR(G196*VLOOKUP(H196,Setup!$A$38:$E$52,5,FALSE),""))</f>
        <v/>
      </c>
      <c r="T196" s="54" t="str">
        <f>IF(S196="","",IFERROR(S196/VLOOKUP("EUR",Setup!$A$38:$E$52,5,FALSE),""))</f>
        <v/>
      </c>
      <c r="U196" s="54" t="str">
        <f>IF(S196="","",IFERROR(S196/VLOOKUP("USD",Setup!$A$38:$E$52,5,FALSE),""))</f>
        <v/>
      </c>
    </row>
    <row r="197" ht="24.0" customHeight="1">
      <c r="A197" s="78"/>
      <c r="B197" s="78"/>
      <c r="C197" s="78"/>
      <c r="D197" s="78"/>
      <c r="E197" s="78"/>
      <c r="F197" s="99"/>
      <c r="G197" s="104"/>
      <c r="H197" s="99"/>
      <c r="I197" s="78"/>
      <c r="J197" s="99"/>
      <c r="K197" s="99"/>
      <c r="L197" s="99"/>
      <c r="M197" s="99"/>
      <c r="N197" s="65"/>
      <c r="O197" s="66" t="str">
        <f t="shared" si="1"/>
        <v/>
      </c>
      <c r="P197" s="78"/>
      <c r="Q197" s="65"/>
      <c r="R197" s="78"/>
      <c r="S197" s="54" t="str">
        <f>IF(OR(G197="",H197=""),"",IFERROR(G197*VLOOKUP(H197,Setup!$A$38:$E$52,5,FALSE),""))</f>
        <v/>
      </c>
      <c r="T197" s="54" t="str">
        <f>IF(S197="","",IFERROR(S197/VLOOKUP("EUR",Setup!$A$38:$E$52,5,FALSE),""))</f>
        <v/>
      </c>
      <c r="U197" s="54" t="str">
        <f>IF(S197="","",IFERROR(S197/VLOOKUP("USD",Setup!$A$38:$E$52,5,FALSE),""))</f>
        <v/>
      </c>
    </row>
    <row r="198" ht="24.0" customHeight="1">
      <c r="A198" s="78"/>
      <c r="B198" s="78"/>
      <c r="C198" s="78"/>
      <c r="D198" s="78"/>
      <c r="E198" s="78"/>
      <c r="F198" s="99"/>
      <c r="G198" s="104"/>
      <c r="H198" s="99"/>
      <c r="I198" s="78"/>
      <c r="J198" s="99"/>
      <c r="K198" s="99"/>
      <c r="L198" s="99"/>
      <c r="M198" s="99"/>
      <c r="N198" s="65"/>
      <c r="O198" s="66" t="str">
        <f t="shared" si="1"/>
        <v/>
      </c>
      <c r="P198" s="78"/>
      <c r="Q198" s="65"/>
      <c r="R198" s="78"/>
      <c r="S198" s="54" t="str">
        <f>IF(OR(G198="",H198=""),"",IFERROR(G198*VLOOKUP(H198,Setup!$A$38:$E$52,5,FALSE),""))</f>
        <v/>
      </c>
      <c r="T198" s="54" t="str">
        <f>IF(S198="","",IFERROR(S198/VLOOKUP("EUR",Setup!$A$38:$E$52,5,FALSE),""))</f>
        <v/>
      </c>
      <c r="U198" s="54" t="str">
        <f>IF(S198="","",IFERROR(S198/VLOOKUP("USD",Setup!$A$38:$E$52,5,FALSE),""))</f>
        <v/>
      </c>
    </row>
    <row r="199" ht="24.0" customHeight="1">
      <c r="A199" s="78"/>
      <c r="B199" s="78"/>
      <c r="C199" s="78"/>
      <c r="D199" s="78"/>
      <c r="E199" s="78"/>
      <c r="F199" s="99"/>
      <c r="G199" s="104"/>
      <c r="H199" s="99"/>
      <c r="I199" s="78"/>
      <c r="J199" s="99"/>
      <c r="K199" s="99"/>
      <c r="L199" s="99"/>
      <c r="M199" s="99"/>
      <c r="N199" s="65"/>
      <c r="O199" s="66" t="str">
        <f t="shared" si="1"/>
        <v/>
      </c>
      <c r="P199" s="78"/>
      <c r="Q199" s="65"/>
      <c r="R199" s="78"/>
      <c r="S199" s="54" t="str">
        <f>IF(OR(G199="",H199=""),"",IFERROR(G199*VLOOKUP(H199,Setup!$A$38:$E$52,5,FALSE),""))</f>
        <v/>
      </c>
      <c r="T199" s="54" t="str">
        <f>IF(S199="","",IFERROR(S199/VLOOKUP("EUR",Setup!$A$38:$E$52,5,FALSE),""))</f>
        <v/>
      </c>
      <c r="U199" s="54" t="str">
        <f>IF(S199="","",IFERROR(S199/VLOOKUP("USD",Setup!$A$38:$E$52,5,FALSE),""))</f>
        <v/>
      </c>
    </row>
    <row r="200" ht="24.0" customHeight="1">
      <c r="A200" s="78"/>
      <c r="B200" s="78"/>
      <c r="C200" s="78"/>
      <c r="D200" s="78"/>
      <c r="E200" s="78"/>
      <c r="F200" s="99"/>
      <c r="G200" s="104"/>
      <c r="H200" s="99"/>
      <c r="I200" s="78"/>
      <c r="J200" s="99"/>
      <c r="K200" s="99"/>
      <c r="L200" s="99"/>
      <c r="M200" s="99"/>
      <c r="N200" s="65"/>
      <c r="O200" s="66" t="str">
        <f t="shared" si="1"/>
        <v/>
      </c>
      <c r="P200" s="78"/>
      <c r="Q200" s="65"/>
      <c r="R200" s="78"/>
      <c r="S200" s="54" t="str">
        <f>IF(OR(G200="",H200=""),"",IFERROR(G200*VLOOKUP(H200,Setup!$A$38:$E$52,5,FALSE),""))</f>
        <v/>
      </c>
      <c r="T200" s="54" t="str">
        <f>IF(S200="","",IFERROR(S200/VLOOKUP("EUR",Setup!$A$38:$E$52,5,FALSE),""))</f>
        <v/>
      </c>
      <c r="U200" s="54" t="str">
        <f>IF(S200="","",IFERROR(S200/VLOOKUP("USD",Setup!$A$38:$E$52,5,FALSE),""))</f>
        <v/>
      </c>
    </row>
    <row r="201" ht="24.0" customHeight="1">
      <c r="A201" s="78"/>
      <c r="B201" s="78"/>
      <c r="C201" s="78"/>
      <c r="D201" s="78"/>
      <c r="E201" s="78"/>
      <c r="F201" s="99"/>
      <c r="G201" s="104"/>
      <c r="H201" s="99"/>
      <c r="I201" s="78"/>
      <c r="J201" s="99"/>
      <c r="K201" s="99"/>
      <c r="L201" s="99"/>
      <c r="M201" s="99"/>
      <c r="N201" s="65"/>
      <c r="O201" s="66" t="str">
        <f t="shared" si="1"/>
        <v/>
      </c>
      <c r="P201" s="78"/>
      <c r="Q201" s="65"/>
      <c r="R201" s="78"/>
      <c r="S201" s="54" t="str">
        <f>IF(OR(G201="",H201=""),"",IFERROR(G201*VLOOKUP(H201,Setup!$A$38:$E$52,5,FALSE),""))</f>
        <v/>
      </c>
      <c r="T201" s="54" t="str">
        <f>IF(S201="","",IFERROR(S201/VLOOKUP("EUR",Setup!$A$38:$E$52,5,FALSE),""))</f>
        <v/>
      </c>
      <c r="U201" s="54" t="str">
        <f>IF(S201="","",IFERROR(S201/VLOOKUP("USD",Setup!$A$38:$E$52,5,FALSE),""))</f>
        <v/>
      </c>
    </row>
    <row r="202" ht="24.0" customHeight="1">
      <c r="A202" s="78"/>
      <c r="B202" s="78"/>
      <c r="C202" s="78"/>
      <c r="D202" s="78"/>
      <c r="E202" s="78"/>
      <c r="F202" s="99"/>
      <c r="G202" s="104"/>
      <c r="H202" s="99"/>
      <c r="I202" s="78"/>
      <c r="J202" s="99"/>
      <c r="K202" s="99"/>
      <c r="L202" s="99"/>
      <c r="M202" s="99"/>
      <c r="N202" s="65"/>
      <c r="O202" s="66" t="str">
        <f t="shared" si="1"/>
        <v/>
      </c>
      <c r="P202" s="78"/>
      <c r="Q202" s="65"/>
      <c r="R202" s="78"/>
      <c r="S202" s="54" t="str">
        <f>IF(OR(G202="",H202=""),"",IFERROR(G202*VLOOKUP(H202,Setup!$A$38:$E$52,5,FALSE),""))</f>
        <v/>
      </c>
      <c r="T202" s="54" t="str">
        <f>IF(S202="","",IFERROR(S202/VLOOKUP("EUR",Setup!$A$38:$E$52,5,FALSE),""))</f>
        <v/>
      </c>
      <c r="U202" s="54" t="str">
        <f>IF(S202="","",IFERROR(S202/VLOOKUP("USD",Setup!$A$38:$E$52,5,FALSE),""))</f>
        <v/>
      </c>
    </row>
    <row r="203" ht="24.0" customHeight="1">
      <c r="A203" s="78"/>
      <c r="B203" s="78"/>
      <c r="C203" s="78"/>
      <c r="D203" s="78"/>
      <c r="E203" s="78"/>
      <c r="F203" s="99"/>
      <c r="G203" s="104"/>
      <c r="H203" s="99"/>
      <c r="I203" s="78"/>
      <c r="J203" s="99"/>
      <c r="K203" s="99"/>
      <c r="L203" s="99"/>
      <c r="M203" s="99"/>
      <c r="N203" s="65"/>
      <c r="O203" s="66" t="str">
        <f t="shared" si="1"/>
        <v/>
      </c>
      <c r="P203" s="78"/>
      <c r="Q203" s="65"/>
      <c r="R203" s="78"/>
      <c r="S203" s="54" t="str">
        <f>IF(OR(G203="",H203=""),"",IFERROR(G203*VLOOKUP(H203,Setup!$A$38:$E$52,5,FALSE),""))</f>
        <v/>
      </c>
      <c r="T203" s="54" t="str">
        <f>IF(S203="","",IFERROR(S203/VLOOKUP("EUR",Setup!$A$38:$E$52,5,FALSE),""))</f>
        <v/>
      </c>
      <c r="U203" s="54" t="str">
        <f>IF(S203="","",IFERROR(S203/VLOOKUP("USD",Setup!$A$38:$E$52,5,FALSE),""))</f>
        <v/>
      </c>
    </row>
    <row r="204" ht="24.0" customHeight="1">
      <c r="A204" s="78"/>
      <c r="B204" s="78"/>
      <c r="C204" s="78"/>
      <c r="D204" s="78"/>
      <c r="E204" s="78"/>
      <c r="F204" s="99"/>
      <c r="G204" s="104"/>
      <c r="H204" s="99"/>
      <c r="I204" s="78"/>
      <c r="J204" s="99"/>
      <c r="K204" s="99"/>
      <c r="L204" s="99"/>
      <c r="M204" s="99"/>
      <c r="N204" s="65"/>
      <c r="O204" s="66" t="str">
        <f t="shared" si="1"/>
        <v/>
      </c>
      <c r="P204" s="78"/>
      <c r="Q204" s="65"/>
      <c r="R204" s="78"/>
      <c r="S204" s="54" t="str">
        <f>IF(OR(G204="",H204=""),"",IFERROR(G204*VLOOKUP(H204,Setup!$A$38:$E$52,5,FALSE),""))</f>
        <v/>
      </c>
      <c r="T204" s="54" t="str">
        <f>IF(S204="","",IFERROR(S204/VLOOKUP("EUR",Setup!$A$38:$E$52,5,FALSE),""))</f>
        <v/>
      </c>
      <c r="U204" s="54" t="str">
        <f>IF(S204="","",IFERROR(S204/VLOOKUP("USD",Setup!$A$38:$E$52,5,FALSE),""))</f>
        <v/>
      </c>
    </row>
    <row r="205" ht="24.0" customHeight="1">
      <c r="A205" s="78"/>
      <c r="B205" s="78"/>
      <c r="C205" s="78"/>
      <c r="D205" s="78"/>
      <c r="E205" s="78"/>
      <c r="F205" s="99"/>
      <c r="G205" s="104"/>
      <c r="H205" s="99"/>
      <c r="I205" s="78"/>
      <c r="J205" s="99"/>
      <c r="K205" s="99"/>
      <c r="L205" s="99"/>
      <c r="M205" s="99"/>
      <c r="N205" s="65"/>
      <c r="O205" s="66" t="str">
        <f t="shared" si="1"/>
        <v/>
      </c>
      <c r="P205" s="78"/>
      <c r="Q205" s="65"/>
      <c r="R205" s="78"/>
      <c r="S205" s="54" t="str">
        <f>IF(OR(G205="",H205=""),"",IFERROR(G205*VLOOKUP(H205,Setup!$A$38:$E$52,5,FALSE),""))</f>
        <v/>
      </c>
      <c r="T205" s="54" t="str">
        <f>IF(S205="","",IFERROR(S205/VLOOKUP("EUR",Setup!$A$38:$E$52,5,FALSE),""))</f>
        <v/>
      </c>
      <c r="U205" s="54" t="str">
        <f>IF(S205="","",IFERROR(S205/VLOOKUP("USD",Setup!$A$38:$E$52,5,FALSE),""))</f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R1"/>
    <mergeCell ref="A2:R2"/>
    <mergeCell ref="A3:B3"/>
  </mergeCells>
  <conditionalFormatting sqref="K6:K205">
    <cfRule type="containsText" dxfId="5" priority="1" operator="containsText" text="Submitted">
      <formula>NOT(ISERROR(SEARCH(("Submitted"),(K6))))</formula>
    </cfRule>
  </conditionalFormatting>
  <conditionalFormatting sqref="K6:K205">
    <cfRule type="containsText" dxfId="6" priority="2" operator="containsText" text="Ready">
      <formula>NOT(ISERROR(SEARCH(("Ready"),(K6))))</formula>
    </cfRule>
  </conditionalFormatting>
  <conditionalFormatting sqref="K6:K205">
    <cfRule type="containsText" dxfId="6" priority="3" operator="containsText" text="Admitted">
      <formula>NOT(ISERROR(SEARCH(("Admitted"),(K6))))</formula>
    </cfRule>
  </conditionalFormatting>
  <conditionalFormatting sqref="K6:K205">
    <cfRule type="containsText" dxfId="6" priority="4" operator="containsText" text="Awarded">
      <formula>NOT(ISERROR(SEARCH(("Awarded"),(K6))))</formula>
    </cfRule>
  </conditionalFormatting>
  <conditionalFormatting sqref="K6:K205">
    <cfRule type="containsText" dxfId="6" priority="5" operator="containsText" text="Completed">
      <formula>NOT(ISERROR(SEARCH(("Completed"),(K6))))</formula>
    </cfRule>
  </conditionalFormatting>
  <conditionalFormatting sqref="K6:K205">
    <cfRule type="containsText" dxfId="6" priority="6" operator="containsText" text="Done">
      <formula>NOT(ISERROR(SEARCH(("Done"),(K6))))</formula>
    </cfRule>
  </conditionalFormatting>
  <conditionalFormatting sqref="K6:K205">
    <cfRule type="containsText" dxfId="6" priority="7" operator="containsText" text="Final">
      <formula>NOT(ISERROR(SEARCH(("Final"),(K6))))</formula>
    </cfRule>
  </conditionalFormatting>
  <conditionalFormatting sqref="K6:K205">
    <cfRule type="containsText" dxfId="7" priority="8" operator="containsText" text="Preparing">
      <formula>NOT(ISERROR(SEARCH(("Preparing"),(K6))))</formula>
    </cfRule>
  </conditionalFormatting>
  <conditionalFormatting sqref="K6:K205">
    <cfRule type="containsText" dxfId="7" priority="9" operator="containsText" text="In Progress">
      <formula>NOT(ISERROR(SEARCH(("In Progress"),(K6))))</formula>
    </cfRule>
  </conditionalFormatting>
  <conditionalFormatting sqref="K6:K205">
    <cfRule type="containsText" dxfId="7" priority="10" operator="containsText" text="Shortlisted">
      <formula>NOT(ISERROR(SEARCH(("Shortlisted"),(K6))))</formula>
    </cfRule>
  </conditionalFormatting>
  <conditionalFormatting sqref="K6:K205">
    <cfRule type="containsText" dxfId="8" priority="11" operator="containsText" text="Researching">
      <formula>NOT(ISERROR(SEARCH(("Researching"),(K6))))</formula>
    </cfRule>
  </conditionalFormatting>
  <conditionalFormatting sqref="K6:K205">
    <cfRule type="containsText" dxfId="8" priority="12" operator="containsText" text="Exploring">
      <formula>NOT(ISERROR(SEARCH(("Exploring"),(K6))))</formula>
    </cfRule>
  </conditionalFormatting>
  <conditionalFormatting sqref="K6:K205">
    <cfRule type="containsText" dxfId="9" priority="13" operator="containsText" text="Needs Verification">
      <formula>NOT(ISERROR(SEARCH(("Needs Verification"),(K6))))</formula>
    </cfRule>
  </conditionalFormatting>
  <conditionalFormatting sqref="K6:K205">
    <cfRule type="containsText" dxfId="10" priority="14" operator="containsText" text="Overdue">
      <formula>NOT(ISERROR(SEARCH(("Overdue"),(K6))))</formula>
    </cfRule>
  </conditionalFormatting>
  <conditionalFormatting sqref="K6:K205">
    <cfRule type="containsText" dxfId="10" priority="15" operator="containsText" text="Rejected">
      <formula>NOT(ISERROR(SEARCH(("Rejected"),(K6))))</formula>
    </cfRule>
  </conditionalFormatting>
  <conditionalFormatting sqref="K6:K205">
    <cfRule type="containsText" dxfId="10" priority="16" operator="containsText" text="Blocked">
      <formula>NOT(ISERROR(SEARCH(("Blocked"),(K6))))</formula>
    </cfRule>
  </conditionalFormatting>
  <conditionalFormatting sqref="L6:L205">
    <cfRule type="containsText" dxfId="5" priority="17" operator="containsText" text="Submitted">
      <formula>NOT(ISERROR(SEARCH(("Submitted"),(L6))))</formula>
    </cfRule>
  </conditionalFormatting>
  <conditionalFormatting sqref="L6:L205">
    <cfRule type="containsText" dxfId="6" priority="18" operator="containsText" text="Ready">
      <formula>NOT(ISERROR(SEARCH(("Ready"),(L6))))</formula>
    </cfRule>
  </conditionalFormatting>
  <conditionalFormatting sqref="L6:L205">
    <cfRule type="containsText" dxfId="6" priority="19" operator="containsText" text="Admitted">
      <formula>NOT(ISERROR(SEARCH(("Admitted"),(L6))))</formula>
    </cfRule>
  </conditionalFormatting>
  <conditionalFormatting sqref="L6:L205">
    <cfRule type="containsText" dxfId="6" priority="20" operator="containsText" text="Awarded">
      <formula>NOT(ISERROR(SEARCH(("Awarded"),(L6))))</formula>
    </cfRule>
  </conditionalFormatting>
  <conditionalFormatting sqref="L6:L205">
    <cfRule type="containsText" dxfId="6" priority="21" operator="containsText" text="Completed">
      <formula>NOT(ISERROR(SEARCH(("Completed"),(L6))))</formula>
    </cfRule>
  </conditionalFormatting>
  <conditionalFormatting sqref="L6:L205">
    <cfRule type="containsText" dxfId="6" priority="22" operator="containsText" text="Done">
      <formula>NOT(ISERROR(SEARCH(("Done"),(L6))))</formula>
    </cfRule>
  </conditionalFormatting>
  <conditionalFormatting sqref="L6:L205">
    <cfRule type="containsText" dxfId="6" priority="23" operator="containsText" text="Final">
      <formula>NOT(ISERROR(SEARCH(("Final"),(L6))))</formula>
    </cfRule>
  </conditionalFormatting>
  <conditionalFormatting sqref="L6:L205">
    <cfRule type="containsText" dxfId="7" priority="24" operator="containsText" text="Preparing">
      <formula>NOT(ISERROR(SEARCH(("Preparing"),(L6))))</formula>
    </cfRule>
  </conditionalFormatting>
  <conditionalFormatting sqref="L6:L205">
    <cfRule type="containsText" dxfId="7" priority="25" operator="containsText" text="In Progress">
      <formula>NOT(ISERROR(SEARCH(("In Progress"),(L6))))</formula>
    </cfRule>
  </conditionalFormatting>
  <conditionalFormatting sqref="L6:L205">
    <cfRule type="containsText" dxfId="7" priority="26" operator="containsText" text="Shortlisted">
      <formula>NOT(ISERROR(SEARCH(("Shortlisted"),(L6))))</formula>
    </cfRule>
  </conditionalFormatting>
  <conditionalFormatting sqref="L6:L205">
    <cfRule type="containsText" dxfId="8" priority="27" operator="containsText" text="Researching">
      <formula>NOT(ISERROR(SEARCH(("Researching"),(L6))))</formula>
    </cfRule>
  </conditionalFormatting>
  <conditionalFormatting sqref="L6:L205">
    <cfRule type="containsText" dxfId="8" priority="28" operator="containsText" text="Exploring">
      <formula>NOT(ISERROR(SEARCH(("Exploring"),(L6))))</formula>
    </cfRule>
  </conditionalFormatting>
  <conditionalFormatting sqref="L6:L205">
    <cfRule type="containsText" dxfId="9" priority="29" operator="containsText" text="Needs Verification">
      <formula>NOT(ISERROR(SEARCH(("Needs Verification"),(L6))))</formula>
    </cfRule>
  </conditionalFormatting>
  <conditionalFormatting sqref="L6:L205">
    <cfRule type="containsText" dxfId="10" priority="30" operator="containsText" text="Overdue">
      <formula>NOT(ISERROR(SEARCH(("Overdue"),(L6))))</formula>
    </cfRule>
  </conditionalFormatting>
  <conditionalFormatting sqref="L6:L205">
    <cfRule type="containsText" dxfId="10" priority="31" operator="containsText" text="Rejected">
      <formula>NOT(ISERROR(SEARCH(("Rejected"),(L6))))</formula>
    </cfRule>
  </conditionalFormatting>
  <conditionalFormatting sqref="L6:L205">
    <cfRule type="containsText" dxfId="10" priority="32" operator="containsText" text="Blocked">
      <formula>NOT(ISERROR(SEARCH(("Blocked"),(L6))))</formula>
    </cfRule>
  </conditionalFormatting>
  <conditionalFormatting sqref="N6:N205">
    <cfRule type="expression" dxfId="10" priority="33">
      <formula>AND(N6&lt;&gt;"",N6&lt;TODAY())</formula>
    </cfRule>
  </conditionalFormatting>
  <conditionalFormatting sqref="N6:N205">
    <cfRule type="expression" dxfId="9" priority="34">
      <formula>AND(N6&gt;=TODAY(),N6&lt;=TODAY()+7)</formula>
    </cfRule>
  </conditionalFormatting>
  <dataValidations>
    <dataValidation type="list" allowBlank="1" showErrorMessage="1" sqref="M6:M205">
      <formula1>"1,2,3,4,5"</formula1>
    </dataValidation>
    <dataValidation type="list" allowBlank="1" showErrorMessage="1" sqref="F6:F205">
      <formula1>"Full Scholarship,Full Tuition,Partial Tuition,Tuition Waiver,Tuition + Stipend,Tuition + Stipend + Travel,Tuition + Stipend + Travel + Insurance,Stipend Only,Research Assistantship,Teaching Assistantship,Graduate Assistantship,Fellowship,Grant / Bursary,G"&amp;"overnment Sponsorship,Employer Sponsorship,Self-funded,Loan,Unknown / To verify"</formula1>
    </dataValidation>
    <dataValidation type="list" allowBlank="1" sqref="J6:J205">
      <formula1>"Automatic,Separate,Nomination,Unknown,University Application,Direct Application"</formula1>
    </dataValidation>
    <dataValidation type="custom" allowBlank="1" showDropDown="1" sqref="N6:N205 Q6:Q205">
      <formula1>OR(NOT(ISERROR(DATEVALUE(N6))), AND(ISNUMBER(N6), LEFT(CELL("format", N6))="D"))</formula1>
    </dataValidation>
    <dataValidation type="list" allowBlank="1" showErrorMessage="1" sqref="H6:H205">
      <formula1>"GHS,EUR,USD,GBP,CHF,CAD,CNY,JPY,XAF,SEK,NOK,DKK,PLN,CZK,HUF"</formula1>
    </dataValidation>
    <dataValidation type="custom" allowBlank="1" showDropDown="1" sqref="G6:G205 O6:O205 S6:U205">
      <formula1>AND(ISNUMBER(G6),(NOT(OR(NOT(ISERROR(DATEVALUE(G6))), AND(ISNUMBER(G6), LEFT(CELL("format", G6))="D")))))</formula1>
    </dataValidation>
    <dataValidation type="list" allowBlank="1" showErrorMessage="1" sqref="K6:K205">
      <formula1>"Unknown,Likely,Eligible,Ineligible,Needs Verification"</formula1>
    </dataValidation>
    <dataValidation allowBlank="1" showDropDown="1" sqref="A6:E205 I6:I205 P6:P205 R6:R205"/>
    <dataValidation type="list" allowBlank="1" showErrorMessage="1" sqref="L6:L205">
      <formula1>"Researching,Eligible,Preparing,Nomination Pending,Submitted,Interview,Awarded,Reserve,Rejected,Withdrawn,Not Required"</formula1>
    </dataValidation>
  </dataValidations>
  <hyperlinks>
    <hyperlink r:id="rId1" ref="P6"/>
    <hyperlink r:id="rId2" ref="P7"/>
    <hyperlink r:id="rId3" ref="P8"/>
    <hyperlink r:id="rId4" ref="P9"/>
    <hyperlink r:id="rId5" ref="P10"/>
    <hyperlink r:id="rId6" ref="P11"/>
    <hyperlink r:id="rId7" ref="P12"/>
    <hyperlink r:id="rId8" ref="P13"/>
    <hyperlink r:id="rId9" ref="P14"/>
    <hyperlink r:id="rId10" ref="P15"/>
    <hyperlink r:id="rId11" ref="P16"/>
    <hyperlink r:id="rId12" ref="P17"/>
    <hyperlink r:id="rId13" ref="P18"/>
  </hyperlinks>
  <printOptions/>
  <pageMargins bottom="0.75" footer="0.0" header="0.0" left="0.7" right="0.7" top="0.75"/>
  <pageSetup orientation="landscape"/>
  <drawing r:id="rId14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2" width="31.13"/>
    <col customWidth="1" min="3" max="3" width="30.0"/>
    <col customWidth="1" min="4" max="4" width="24.0"/>
    <col customWidth="1" min="5" max="5" width="18.88"/>
    <col customWidth="1" min="6" max="6" width="12.88"/>
    <col customWidth="1" min="7" max="7" width="15.0"/>
    <col customWidth="1" min="8" max="8" width="16.13"/>
    <col customWidth="1" min="9" max="9" width="13.38"/>
    <col customWidth="1" min="10" max="10" width="14.13"/>
    <col customWidth="1" min="11" max="11" width="16.0"/>
    <col customWidth="1" min="12" max="12" width="15.25"/>
    <col customWidth="1" min="13" max="13" width="15.5"/>
    <col customWidth="1" min="14" max="14" width="15.13"/>
    <col customWidth="1" min="15" max="15" width="17.38"/>
    <col customWidth="1" min="16" max="16" width="16.0"/>
    <col customWidth="1" min="17" max="17" width="18.0"/>
    <col customWidth="1" min="18" max="18" width="28.0"/>
    <col customWidth="1" min="19" max="19" width="40.0"/>
    <col customWidth="1" min="20" max="26" width="8.63"/>
  </cols>
  <sheetData>
    <row r="1" ht="33.75" customHeight="1">
      <c r="A1" s="1" t="s">
        <v>44</v>
      </c>
    </row>
    <row r="2" ht="27.75" customHeight="1">
      <c r="A2" s="2" t="s">
        <v>141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31.5" customHeight="1">
      <c r="A5" s="28" t="s">
        <v>144</v>
      </c>
      <c r="B5" s="28" t="s">
        <v>50</v>
      </c>
      <c r="C5" s="28" t="s">
        <v>60</v>
      </c>
      <c r="D5" s="28" t="s">
        <v>56</v>
      </c>
      <c r="E5" s="28" t="s">
        <v>70</v>
      </c>
      <c r="F5" s="28" t="s">
        <v>73</v>
      </c>
      <c r="G5" s="28" t="s">
        <v>146</v>
      </c>
      <c r="H5" s="28" t="s">
        <v>147</v>
      </c>
      <c r="I5" s="28" t="s">
        <v>82</v>
      </c>
      <c r="J5" s="28" t="s">
        <v>148</v>
      </c>
      <c r="K5" s="28" t="s">
        <v>150</v>
      </c>
      <c r="L5" s="28" t="s">
        <v>71</v>
      </c>
      <c r="M5" s="28" t="s">
        <v>152</v>
      </c>
      <c r="N5" s="28" t="s">
        <v>116</v>
      </c>
      <c r="O5" s="28" t="s">
        <v>153</v>
      </c>
      <c r="P5" s="28" t="s">
        <v>154</v>
      </c>
      <c r="Q5" s="28" t="s">
        <v>155</v>
      </c>
      <c r="R5" s="28" t="s">
        <v>156</v>
      </c>
      <c r="S5" s="28" t="s">
        <v>85</v>
      </c>
      <c r="T5" s="30" t="s">
        <v>154</v>
      </c>
      <c r="U5" s="30" t="s">
        <v>155</v>
      </c>
      <c r="V5" s="30" t="s">
        <v>156</v>
      </c>
      <c r="W5" s="30" t="s">
        <v>85</v>
      </c>
    </row>
    <row r="6" ht="24.0" customHeight="1">
      <c r="A6" s="80" t="s">
        <v>161</v>
      </c>
      <c r="B6" s="82" t="s">
        <v>165</v>
      </c>
      <c r="C6" s="84" t="str">
        <f t="array" ref="C6">IF(B6="","",IFERROR(INDEX(Programs!$C$6:$C$205,MATCH(B6,Programs!$A$6:$A$205,0)),""))</f>
        <v/>
      </c>
      <c r="D6" s="84" t="str">
        <f t="array" ref="D6">IF(B6="","",IFERROR(INDEX(Programs!$B$6:$B$205,MATCH(B6,Programs!$A$6:$A$205,0)),""))</f>
        <v/>
      </c>
      <c r="E6" s="86" t="s">
        <v>114</v>
      </c>
      <c r="F6" s="86">
        <v>5.0</v>
      </c>
      <c r="G6" s="82" t="s">
        <v>172</v>
      </c>
      <c r="H6" s="56">
        <f>IF(A6="","",IF(COUNTIFS(Deadlines!$D$6:$D$205,A6,Deadlines!$H$6:$H$205,"&lt;&gt;Completed",Deadlines!$G$6:$G$205,"&lt;&gt;")=0,"",MINIFS(Deadlines!$G$6:$G$205,Deadlines!$D$6:$D$205,A6,Deadlines!$H$6:$H$205,"&lt;&gt;Completed")))</f>
        <v>46295</v>
      </c>
      <c r="I6" s="46">
        <f t="shared" ref="I6:I205" si="1">IF(H6="","",H6-TODAY())</f>
        <v>39</v>
      </c>
      <c r="J6" s="46">
        <f>IF(A6="","",COUNTIFS(Tasks!$D$6:$D$205,A6,Tasks!$G$6:$G$205,"&lt;&gt;Done",Tasks!$H$6:$H$205,TRUE)+COUNTIFS(Documents!$K$6:$K$205,A6,Documents!$G$6:$G$205,"&lt;&gt;Ready")+COUNTIFS(Essays!$C$6:$C$205,A6,Essays!$G$6:$G$205,"&lt;&gt;Final")+COUNTIFS(Recommenders!$G$6:$G$205,A6,Recommenders!$H$6:$H$205,"&lt;&gt;Submitted"))</f>
        <v>4</v>
      </c>
      <c r="K6" s="90">
        <v>100.0</v>
      </c>
      <c r="L6" s="86" t="s">
        <v>97</v>
      </c>
      <c r="M6" s="86" t="s">
        <v>182</v>
      </c>
      <c r="N6" s="45"/>
      <c r="O6" s="86" t="s">
        <v>183</v>
      </c>
      <c r="P6" s="45">
        <v>46371.0</v>
      </c>
      <c r="Q6" s="62"/>
      <c r="R6" s="62"/>
      <c r="S6" s="93" t="s">
        <v>185</v>
      </c>
    </row>
    <row r="7" ht="24.0" customHeight="1">
      <c r="A7" s="78"/>
      <c r="B7" s="78"/>
      <c r="C7" s="97" t="str">
        <f t="array" ref="C7">IF(B7="","",IFERROR(INDEX(Programs!$C$6:$C$205,MATCH(B7,Programs!$A$6:$A$205,0)),""))</f>
        <v/>
      </c>
      <c r="D7" s="97" t="str">
        <f t="array" ref="D7">IF(B7="","",IFERROR(INDEX(Programs!$B$6:$B$205,MATCH(B7,Programs!$A$6:$A$205,0)),""))</f>
        <v/>
      </c>
      <c r="E7" s="99"/>
      <c r="F7" s="99"/>
      <c r="G7" s="78"/>
      <c r="H7" s="74" t="str">
        <f>IF(A7="","",IF(COUNTIFS(Deadlines!$D$6:$D$205,A7,Deadlines!$H$6:$H$205,"&lt;&gt;Completed",Deadlines!$G$6:$G$205,"&lt;&gt;")=0,"",MINIFS(Deadlines!$G$6:$G$205,Deadlines!$D$6:$D$205,A7,Deadlines!$H$6:$H$205,"&lt;&gt;Completed")))</f>
        <v/>
      </c>
      <c r="I7" s="66" t="str">
        <f t="shared" si="1"/>
        <v/>
      </c>
      <c r="J7" s="66" t="str">
        <f>IF(A7="","",COUNTIFS(Tasks!$D$6:$D$205,A7,Tasks!$G$6:$G$205,"&lt;&gt;Done",Tasks!$H$6:$H$205,TRUE)+COUNTIFS(Documents!$K$6:$K$205,A7,Documents!$G$6:$G$205,"&lt;&gt;Ready")+COUNTIFS(Essays!$C$6:$C$205,A7,Essays!$G$6:$G$205,"&lt;&gt;Final")+COUNTIFS(Recommenders!$G$6:$G$205,A7,Recommenders!$H$6:$H$205,"&lt;&gt;Submitted"))</f>
        <v/>
      </c>
      <c r="K7" s="104"/>
      <c r="L7" s="99"/>
      <c r="M7" s="99"/>
      <c r="N7" s="65"/>
      <c r="O7" s="99"/>
      <c r="P7" s="65"/>
      <c r="Q7" s="78"/>
      <c r="R7" s="78"/>
      <c r="S7" s="78"/>
    </row>
    <row r="8" ht="24.0" customHeight="1">
      <c r="A8" s="78"/>
      <c r="B8" s="78"/>
      <c r="C8" s="97" t="str">
        <f t="array" ref="C8">IF(B8="","",IFERROR(INDEX(Programs!$C$6:$C$205,MATCH(B8,Programs!$A$6:$A$205,0)),""))</f>
        <v/>
      </c>
      <c r="D8" s="97" t="str">
        <f t="array" ref="D8">IF(B8="","",IFERROR(INDEX(Programs!$B$6:$B$205,MATCH(B8,Programs!$A$6:$A$205,0)),""))</f>
        <v/>
      </c>
      <c r="E8" s="99"/>
      <c r="F8" s="99"/>
      <c r="G8" s="78"/>
      <c r="H8" s="74" t="str">
        <f>IF(A8="","",IF(COUNTIFS(Deadlines!$D$6:$D$205,A8,Deadlines!$H$6:$H$205,"&lt;&gt;Completed",Deadlines!$G$6:$G$205,"&lt;&gt;")=0,"",MINIFS(Deadlines!$G$6:$G$205,Deadlines!$D$6:$D$205,A8,Deadlines!$H$6:$H$205,"&lt;&gt;Completed")))</f>
        <v/>
      </c>
      <c r="I8" s="66" t="str">
        <f t="shared" si="1"/>
        <v/>
      </c>
      <c r="J8" s="66" t="str">
        <f>IF(A8="","",COUNTIFS(Tasks!$D$6:$D$205,A8,Tasks!$G$6:$G$205,"&lt;&gt;Done",Tasks!$H$6:$H$205,TRUE)+COUNTIFS(Documents!$K$6:$K$205,A8,Documents!$G$6:$G$205,"&lt;&gt;Ready")+COUNTIFS(Essays!$C$6:$C$205,A8,Essays!$G$6:$G$205,"&lt;&gt;Final")+COUNTIFS(Recommenders!$G$6:$G$205,A8,Recommenders!$H$6:$H$205,"&lt;&gt;Submitted"))</f>
        <v/>
      </c>
      <c r="K8" s="104"/>
      <c r="L8" s="99"/>
      <c r="M8" s="99"/>
      <c r="N8" s="65"/>
      <c r="O8" s="99"/>
      <c r="P8" s="65"/>
      <c r="Q8" s="78"/>
      <c r="R8" s="78"/>
      <c r="S8" s="78"/>
    </row>
    <row r="9" ht="24.0" customHeight="1">
      <c r="A9" s="78"/>
      <c r="B9" s="78"/>
      <c r="C9" s="97" t="str">
        <f t="array" ref="C9">IF(B9="","",IFERROR(INDEX(Programs!$C$6:$C$205,MATCH(B9,Programs!$A$6:$A$205,0)),""))</f>
        <v/>
      </c>
      <c r="D9" s="97" t="str">
        <f t="array" ref="D9">IF(B9="","",IFERROR(INDEX(Programs!$B$6:$B$205,MATCH(B9,Programs!$A$6:$A$205,0)),""))</f>
        <v/>
      </c>
      <c r="E9" s="99"/>
      <c r="F9" s="99"/>
      <c r="G9" s="78"/>
      <c r="H9" s="74" t="str">
        <f>IF(A9="","",IF(COUNTIFS(Deadlines!$D$6:$D$205,A9,Deadlines!$H$6:$H$205,"&lt;&gt;Completed",Deadlines!$G$6:$G$205,"&lt;&gt;")=0,"",MINIFS(Deadlines!$G$6:$G$205,Deadlines!$D$6:$D$205,A9,Deadlines!$H$6:$H$205,"&lt;&gt;Completed")))</f>
        <v/>
      </c>
      <c r="I9" s="66" t="str">
        <f t="shared" si="1"/>
        <v/>
      </c>
      <c r="J9" s="66" t="str">
        <f>IF(A9="","",COUNTIFS(Tasks!$D$6:$D$205,A9,Tasks!$G$6:$G$205,"&lt;&gt;Done",Tasks!$H$6:$H$205,TRUE)+COUNTIFS(Documents!$K$6:$K$205,A9,Documents!$G$6:$G$205,"&lt;&gt;Ready")+COUNTIFS(Essays!$C$6:$C$205,A9,Essays!$G$6:$G$205,"&lt;&gt;Final")+COUNTIFS(Recommenders!$G$6:$G$205,A9,Recommenders!$H$6:$H$205,"&lt;&gt;Submitted"))</f>
        <v/>
      </c>
      <c r="K9" s="104"/>
      <c r="L9" s="99"/>
      <c r="M9" s="99"/>
      <c r="N9" s="65"/>
      <c r="O9" s="99"/>
      <c r="P9" s="65"/>
      <c r="Q9" s="78"/>
      <c r="R9" s="78"/>
      <c r="S9" s="78"/>
    </row>
    <row r="10" ht="24.0" customHeight="1">
      <c r="A10" s="78"/>
      <c r="B10" s="78"/>
      <c r="C10" s="97" t="str">
        <f t="array" ref="C10">IF(B10="","",IFERROR(INDEX(Programs!$C$6:$C$205,MATCH(B10,Programs!$A$6:$A$205,0)),""))</f>
        <v/>
      </c>
      <c r="D10" s="97" t="str">
        <f t="array" ref="D10">IF(B10="","",IFERROR(INDEX(Programs!$B$6:$B$205,MATCH(B10,Programs!$A$6:$A$205,0)),""))</f>
        <v/>
      </c>
      <c r="E10" s="99"/>
      <c r="F10" s="99"/>
      <c r="G10" s="78"/>
      <c r="H10" s="74" t="str">
        <f>IF(A10="","",IF(COUNTIFS(Deadlines!$D$6:$D$205,A10,Deadlines!$H$6:$H$205,"&lt;&gt;Completed",Deadlines!$G$6:$G$205,"&lt;&gt;")=0,"",MINIFS(Deadlines!$G$6:$G$205,Deadlines!$D$6:$D$205,A10,Deadlines!$H$6:$H$205,"&lt;&gt;Completed")))</f>
        <v/>
      </c>
      <c r="I10" s="66" t="str">
        <f t="shared" si="1"/>
        <v/>
      </c>
      <c r="J10" s="66" t="str">
        <f>IF(A10="","",COUNTIFS(Tasks!$D$6:$D$205,A10,Tasks!$G$6:$G$205,"&lt;&gt;Done",Tasks!$H$6:$H$205,TRUE)+COUNTIFS(Documents!$K$6:$K$205,A10,Documents!$G$6:$G$205,"&lt;&gt;Ready")+COUNTIFS(Essays!$C$6:$C$205,A10,Essays!$G$6:$G$205,"&lt;&gt;Final")+COUNTIFS(Recommenders!$G$6:$G$205,A10,Recommenders!$H$6:$H$205,"&lt;&gt;Submitted"))</f>
        <v/>
      </c>
      <c r="K10" s="104"/>
      <c r="L10" s="99"/>
      <c r="M10" s="99"/>
      <c r="N10" s="65"/>
      <c r="O10" s="99"/>
      <c r="P10" s="65"/>
      <c r="Q10" s="78"/>
      <c r="R10" s="78"/>
      <c r="S10" s="78"/>
    </row>
    <row r="11" ht="24.0" customHeight="1">
      <c r="A11" s="78"/>
      <c r="B11" s="78"/>
      <c r="C11" s="97" t="str">
        <f t="array" ref="C11">IF(B11="","",IFERROR(INDEX(Programs!$C$6:$C$205,MATCH(B11,Programs!$A$6:$A$205,0)),""))</f>
        <v/>
      </c>
      <c r="D11" s="97" t="str">
        <f t="array" ref="D11">IF(B11="","",IFERROR(INDEX(Programs!$B$6:$B$205,MATCH(B11,Programs!$A$6:$A$205,0)),""))</f>
        <v/>
      </c>
      <c r="E11" s="99"/>
      <c r="F11" s="99"/>
      <c r="G11" s="78"/>
      <c r="H11" s="74" t="str">
        <f>IF(A11="","",IF(COUNTIFS(Deadlines!$D$6:$D$205,A11,Deadlines!$H$6:$H$205,"&lt;&gt;Completed",Deadlines!$G$6:$G$205,"&lt;&gt;")=0,"",MINIFS(Deadlines!$G$6:$G$205,Deadlines!$D$6:$D$205,A11,Deadlines!$H$6:$H$205,"&lt;&gt;Completed")))</f>
        <v/>
      </c>
      <c r="I11" s="66" t="str">
        <f t="shared" si="1"/>
        <v/>
      </c>
      <c r="J11" s="66" t="str">
        <f>IF(A11="","",COUNTIFS(Tasks!$D$6:$D$205,A11,Tasks!$G$6:$G$205,"&lt;&gt;Done",Tasks!$H$6:$H$205,TRUE)+COUNTIFS(Documents!$K$6:$K$205,A11,Documents!$G$6:$G$205,"&lt;&gt;Ready")+COUNTIFS(Essays!$C$6:$C$205,A11,Essays!$G$6:$G$205,"&lt;&gt;Final")+COUNTIFS(Recommenders!$G$6:$G$205,A11,Recommenders!$H$6:$H$205,"&lt;&gt;Submitted"))</f>
        <v/>
      </c>
      <c r="K11" s="104"/>
      <c r="L11" s="99"/>
      <c r="M11" s="99"/>
      <c r="N11" s="65"/>
      <c r="O11" s="99"/>
      <c r="P11" s="65"/>
      <c r="Q11" s="78"/>
      <c r="R11" s="78"/>
      <c r="S11" s="78"/>
    </row>
    <row r="12" ht="24.0" customHeight="1">
      <c r="A12" s="78"/>
      <c r="B12" s="78"/>
      <c r="C12" s="97" t="str">
        <f t="array" ref="C12">IF(B12="","",IFERROR(INDEX(Programs!$C$6:$C$205,MATCH(B12,Programs!$A$6:$A$205,0)),""))</f>
        <v/>
      </c>
      <c r="D12" s="97" t="str">
        <f t="array" ref="D12">IF(B12="","",IFERROR(INDEX(Programs!$B$6:$B$205,MATCH(B12,Programs!$A$6:$A$205,0)),""))</f>
        <v/>
      </c>
      <c r="E12" s="99"/>
      <c r="F12" s="99"/>
      <c r="G12" s="78"/>
      <c r="H12" s="74" t="str">
        <f>IF(A12="","",IF(COUNTIFS(Deadlines!$D$6:$D$205,A12,Deadlines!$H$6:$H$205,"&lt;&gt;Completed",Deadlines!$G$6:$G$205,"&lt;&gt;")=0,"",MINIFS(Deadlines!$G$6:$G$205,Deadlines!$D$6:$D$205,A12,Deadlines!$H$6:$H$205,"&lt;&gt;Completed")))</f>
        <v/>
      </c>
      <c r="I12" s="66" t="str">
        <f t="shared" si="1"/>
        <v/>
      </c>
      <c r="J12" s="66" t="str">
        <f>IF(A12="","",COUNTIFS(Tasks!$D$6:$D$205,A12,Tasks!$G$6:$G$205,"&lt;&gt;Done",Tasks!$H$6:$H$205,TRUE)+COUNTIFS(Documents!$K$6:$K$205,A12,Documents!$G$6:$G$205,"&lt;&gt;Ready")+COUNTIFS(Essays!$C$6:$C$205,A12,Essays!$G$6:$G$205,"&lt;&gt;Final")+COUNTIFS(Recommenders!$G$6:$G$205,A12,Recommenders!$H$6:$H$205,"&lt;&gt;Submitted"))</f>
        <v/>
      </c>
      <c r="K12" s="104"/>
      <c r="L12" s="99"/>
      <c r="M12" s="99"/>
      <c r="N12" s="65"/>
      <c r="O12" s="99"/>
      <c r="P12" s="65"/>
      <c r="Q12" s="78"/>
      <c r="R12" s="78"/>
      <c r="S12" s="78"/>
    </row>
    <row r="13" ht="24.0" customHeight="1">
      <c r="A13" s="78"/>
      <c r="B13" s="78"/>
      <c r="C13" s="97" t="str">
        <f t="array" ref="C13">IF(B13="","",IFERROR(INDEX(Programs!$C$6:$C$205,MATCH(B13,Programs!$A$6:$A$205,0)),""))</f>
        <v/>
      </c>
      <c r="D13" s="97" t="str">
        <f t="array" ref="D13">IF(B13="","",IFERROR(INDEX(Programs!$B$6:$B$205,MATCH(B13,Programs!$A$6:$A$205,0)),""))</f>
        <v/>
      </c>
      <c r="E13" s="99"/>
      <c r="F13" s="99"/>
      <c r="G13" s="78"/>
      <c r="H13" s="74" t="str">
        <f>IF(A13="","",IF(COUNTIFS(Deadlines!$D$6:$D$205,A13,Deadlines!$H$6:$H$205,"&lt;&gt;Completed",Deadlines!$G$6:$G$205,"&lt;&gt;")=0,"",MINIFS(Deadlines!$G$6:$G$205,Deadlines!$D$6:$D$205,A13,Deadlines!$H$6:$H$205,"&lt;&gt;Completed")))</f>
        <v/>
      </c>
      <c r="I13" s="66" t="str">
        <f t="shared" si="1"/>
        <v/>
      </c>
      <c r="J13" s="66" t="str">
        <f>IF(A13="","",COUNTIFS(Tasks!$D$6:$D$205,A13,Tasks!$G$6:$G$205,"&lt;&gt;Done",Tasks!$H$6:$H$205,TRUE)+COUNTIFS(Documents!$K$6:$K$205,A13,Documents!$G$6:$G$205,"&lt;&gt;Ready")+COUNTIFS(Essays!$C$6:$C$205,A13,Essays!$G$6:$G$205,"&lt;&gt;Final")+COUNTIFS(Recommenders!$G$6:$G$205,A13,Recommenders!$H$6:$H$205,"&lt;&gt;Submitted"))</f>
        <v/>
      </c>
      <c r="K13" s="104"/>
      <c r="L13" s="99"/>
      <c r="M13" s="99"/>
      <c r="N13" s="65"/>
      <c r="O13" s="99"/>
      <c r="P13" s="65"/>
      <c r="Q13" s="78"/>
      <c r="R13" s="78"/>
      <c r="S13" s="78"/>
    </row>
    <row r="14" ht="24.0" customHeight="1">
      <c r="A14" s="78"/>
      <c r="B14" s="78"/>
      <c r="C14" s="97" t="str">
        <f t="array" ref="C14">IF(B14="","",IFERROR(INDEX(Programs!$C$6:$C$205,MATCH(B14,Programs!$A$6:$A$205,0)),""))</f>
        <v/>
      </c>
      <c r="D14" s="97" t="str">
        <f t="array" ref="D14">IF(B14="","",IFERROR(INDEX(Programs!$B$6:$B$205,MATCH(B14,Programs!$A$6:$A$205,0)),""))</f>
        <v/>
      </c>
      <c r="E14" s="99"/>
      <c r="F14" s="99"/>
      <c r="G14" s="78"/>
      <c r="H14" s="74" t="str">
        <f>IF(A14="","",IF(COUNTIFS(Deadlines!$D$6:$D$205,A14,Deadlines!$H$6:$H$205,"&lt;&gt;Completed",Deadlines!$G$6:$G$205,"&lt;&gt;")=0,"",MINIFS(Deadlines!$G$6:$G$205,Deadlines!$D$6:$D$205,A14,Deadlines!$H$6:$H$205,"&lt;&gt;Completed")))</f>
        <v/>
      </c>
      <c r="I14" s="66" t="str">
        <f t="shared" si="1"/>
        <v/>
      </c>
      <c r="J14" s="66" t="str">
        <f>IF(A14="","",COUNTIFS(Tasks!$D$6:$D$205,A14,Tasks!$G$6:$G$205,"&lt;&gt;Done",Tasks!$H$6:$H$205,TRUE)+COUNTIFS(Documents!$K$6:$K$205,A14,Documents!$G$6:$G$205,"&lt;&gt;Ready")+COUNTIFS(Essays!$C$6:$C$205,A14,Essays!$G$6:$G$205,"&lt;&gt;Final")+COUNTIFS(Recommenders!$G$6:$G$205,A14,Recommenders!$H$6:$H$205,"&lt;&gt;Submitted"))</f>
        <v/>
      </c>
      <c r="K14" s="104"/>
      <c r="L14" s="99"/>
      <c r="M14" s="99"/>
      <c r="N14" s="65"/>
      <c r="O14" s="99"/>
      <c r="P14" s="65"/>
      <c r="Q14" s="78"/>
      <c r="R14" s="78"/>
      <c r="S14" s="78"/>
    </row>
    <row r="15" ht="24.0" customHeight="1">
      <c r="A15" s="78"/>
      <c r="B15" s="78"/>
      <c r="C15" s="97" t="str">
        <f t="array" ref="C15">IF(B15="","",IFERROR(INDEX(Programs!$C$6:$C$205,MATCH(B15,Programs!$A$6:$A$205,0)),""))</f>
        <v/>
      </c>
      <c r="D15" s="97" t="str">
        <f t="array" ref="D15">IF(B15="","",IFERROR(INDEX(Programs!$B$6:$B$205,MATCH(B15,Programs!$A$6:$A$205,0)),""))</f>
        <v/>
      </c>
      <c r="E15" s="99"/>
      <c r="F15" s="99"/>
      <c r="G15" s="78"/>
      <c r="H15" s="74" t="str">
        <f>IF(A15="","",IF(COUNTIFS(Deadlines!$D$6:$D$205,A15,Deadlines!$H$6:$H$205,"&lt;&gt;Completed",Deadlines!$G$6:$G$205,"&lt;&gt;")=0,"",MINIFS(Deadlines!$G$6:$G$205,Deadlines!$D$6:$D$205,A15,Deadlines!$H$6:$H$205,"&lt;&gt;Completed")))</f>
        <v/>
      </c>
      <c r="I15" s="66" t="str">
        <f t="shared" si="1"/>
        <v/>
      </c>
      <c r="J15" s="66" t="str">
        <f>IF(A15="","",COUNTIFS(Tasks!$D$6:$D$205,A15,Tasks!$G$6:$G$205,"&lt;&gt;Done",Tasks!$H$6:$H$205,TRUE)+COUNTIFS(Documents!$K$6:$K$205,A15,Documents!$G$6:$G$205,"&lt;&gt;Ready")+COUNTIFS(Essays!$C$6:$C$205,A15,Essays!$G$6:$G$205,"&lt;&gt;Final")+COUNTIFS(Recommenders!$G$6:$G$205,A15,Recommenders!$H$6:$H$205,"&lt;&gt;Submitted"))</f>
        <v/>
      </c>
      <c r="K15" s="104"/>
      <c r="L15" s="99"/>
      <c r="M15" s="99"/>
      <c r="N15" s="65"/>
      <c r="O15" s="99"/>
      <c r="P15" s="65"/>
      <c r="Q15" s="78"/>
      <c r="R15" s="78"/>
      <c r="S15" s="78"/>
    </row>
    <row r="16" ht="24.0" customHeight="1">
      <c r="A16" s="78"/>
      <c r="B16" s="78"/>
      <c r="C16" s="97" t="str">
        <f t="array" ref="C16">IF(B16="","",IFERROR(INDEX(Programs!$C$6:$C$205,MATCH(B16,Programs!$A$6:$A$205,0)),""))</f>
        <v/>
      </c>
      <c r="D16" s="97" t="str">
        <f t="array" ref="D16">IF(B16="","",IFERROR(INDEX(Programs!$B$6:$B$205,MATCH(B16,Programs!$A$6:$A$205,0)),""))</f>
        <v/>
      </c>
      <c r="E16" s="99"/>
      <c r="F16" s="99"/>
      <c r="G16" s="78"/>
      <c r="H16" s="74" t="str">
        <f>IF(A16="","",IF(COUNTIFS(Deadlines!$D$6:$D$205,A16,Deadlines!$H$6:$H$205,"&lt;&gt;Completed",Deadlines!$G$6:$G$205,"&lt;&gt;")=0,"",MINIFS(Deadlines!$G$6:$G$205,Deadlines!$D$6:$D$205,A16,Deadlines!$H$6:$H$205,"&lt;&gt;Completed")))</f>
        <v/>
      </c>
      <c r="I16" s="66" t="str">
        <f t="shared" si="1"/>
        <v/>
      </c>
      <c r="J16" s="66" t="str">
        <f>IF(A16="","",COUNTIFS(Tasks!$D$6:$D$205,A16,Tasks!$G$6:$G$205,"&lt;&gt;Done",Tasks!$H$6:$H$205,TRUE)+COUNTIFS(Documents!$K$6:$K$205,A16,Documents!$G$6:$G$205,"&lt;&gt;Ready")+COUNTIFS(Essays!$C$6:$C$205,A16,Essays!$G$6:$G$205,"&lt;&gt;Final")+COUNTIFS(Recommenders!$G$6:$G$205,A16,Recommenders!$H$6:$H$205,"&lt;&gt;Submitted"))</f>
        <v/>
      </c>
      <c r="K16" s="104"/>
      <c r="L16" s="99"/>
      <c r="M16" s="99"/>
      <c r="N16" s="65"/>
      <c r="O16" s="99"/>
      <c r="P16" s="65"/>
      <c r="Q16" s="78"/>
      <c r="R16" s="78"/>
      <c r="S16" s="78"/>
    </row>
    <row r="17" ht="24.0" customHeight="1">
      <c r="A17" s="78"/>
      <c r="B17" s="78"/>
      <c r="C17" s="97" t="str">
        <f t="array" ref="C17">IF(B17="","",IFERROR(INDEX(Programs!$C$6:$C$205,MATCH(B17,Programs!$A$6:$A$205,0)),""))</f>
        <v/>
      </c>
      <c r="D17" s="97" t="str">
        <f t="array" ref="D17">IF(B17="","",IFERROR(INDEX(Programs!$B$6:$B$205,MATCH(B17,Programs!$A$6:$A$205,0)),""))</f>
        <v/>
      </c>
      <c r="E17" s="99"/>
      <c r="F17" s="99"/>
      <c r="G17" s="78"/>
      <c r="H17" s="74" t="str">
        <f>IF(A17="","",IF(COUNTIFS(Deadlines!$D$6:$D$205,A17,Deadlines!$H$6:$H$205,"&lt;&gt;Completed",Deadlines!$G$6:$G$205,"&lt;&gt;")=0,"",MINIFS(Deadlines!$G$6:$G$205,Deadlines!$D$6:$D$205,A17,Deadlines!$H$6:$H$205,"&lt;&gt;Completed")))</f>
        <v/>
      </c>
      <c r="I17" s="66" t="str">
        <f t="shared" si="1"/>
        <v/>
      </c>
      <c r="J17" s="66" t="str">
        <f>IF(A17="","",COUNTIFS(Tasks!$D$6:$D$205,A17,Tasks!$G$6:$G$205,"&lt;&gt;Done",Tasks!$H$6:$H$205,TRUE)+COUNTIFS(Documents!$K$6:$K$205,A17,Documents!$G$6:$G$205,"&lt;&gt;Ready")+COUNTIFS(Essays!$C$6:$C$205,A17,Essays!$G$6:$G$205,"&lt;&gt;Final")+COUNTIFS(Recommenders!$G$6:$G$205,A17,Recommenders!$H$6:$H$205,"&lt;&gt;Submitted"))</f>
        <v/>
      </c>
      <c r="K17" s="104"/>
      <c r="L17" s="99"/>
      <c r="M17" s="99"/>
      <c r="N17" s="65"/>
      <c r="O17" s="99"/>
      <c r="P17" s="65"/>
      <c r="Q17" s="78"/>
      <c r="R17" s="78"/>
      <c r="S17" s="78"/>
    </row>
    <row r="18" ht="24.0" customHeight="1">
      <c r="A18" s="78"/>
      <c r="B18" s="78"/>
      <c r="C18" s="97" t="str">
        <f t="array" ref="C18">IF(B18="","",IFERROR(INDEX(Programs!$C$6:$C$205,MATCH(B18,Programs!$A$6:$A$205,0)),""))</f>
        <v/>
      </c>
      <c r="D18" s="97" t="str">
        <f t="array" ref="D18">IF(B18="","",IFERROR(INDEX(Programs!$B$6:$B$205,MATCH(B18,Programs!$A$6:$A$205,0)),""))</f>
        <v/>
      </c>
      <c r="E18" s="99"/>
      <c r="F18" s="99"/>
      <c r="G18" s="78"/>
      <c r="H18" s="74" t="str">
        <f>IF(A18="","",IF(COUNTIFS(Deadlines!$D$6:$D$205,A18,Deadlines!$H$6:$H$205,"&lt;&gt;Completed",Deadlines!$G$6:$G$205,"&lt;&gt;")=0,"",MINIFS(Deadlines!$G$6:$G$205,Deadlines!$D$6:$D$205,A18,Deadlines!$H$6:$H$205,"&lt;&gt;Completed")))</f>
        <v/>
      </c>
      <c r="I18" s="66" t="str">
        <f t="shared" si="1"/>
        <v/>
      </c>
      <c r="J18" s="66" t="str">
        <f>IF(A18="","",COUNTIFS(Tasks!$D$6:$D$205,A18,Tasks!$G$6:$G$205,"&lt;&gt;Done",Tasks!$H$6:$H$205,TRUE)+COUNTIFS(Documents!$K$6:$K$205,A18,Documents!$G$6:$G$205,"&lt;&gt;Ready")+COUNTIFS(Essays!$C$6:$C$205,A18,Essays!$G$6:$G$205,"&lt;&gt;Final")+COUNTIFS(Recommenders!$G$6:$G$205,A18,Recommenders!$H$6:$H$205,"&lt;&gt;Submitted"))</f>
        <v/>
      </c>
      <c r="K18" s="104"/>
      <c r="L18" s="99"/>
      <c r="M18" s="99"/>
      <c r="N18" s="65"/>
      <c r="O18" s="99"/>
      <c r="P18" s="65"/>
      <c r="Q18" s="78"/>
      <c r="R18" s="78"/>
      <c r="S18" s="78"/>
    </row>
    <row r="19" ht="24.0" customHeight="1">
      <c r="A19" s="78"/>
      <c r="B19" s="78"/>
      <c r="C19" s="97" t="str">
        <f t="array" ref="C19">IF(B19="","",IFERROR(INDEX(Programs!$C$6:$C$205,MATCH(B19,Programs!$A$6:$A$205,0)),""))</f>
        <v/>
      </c>
      <c r="D19" s="97" t="str">
        <f t="array" ref="D19">IF(B19="","",IFERROR(INDEX(Programs!$B$6:$B$205,MATCH(B19,Programs!$A$6:$A$205,0)),""))</f>
        <v/>
      </c>
      <c r="E19" s="99"/>
      <c r="F19" s="99"/>
      <c r="G19" s="78"/>
      <c r="H19" s="74" t="str">
        <f>IF(A19="","",IF(COUNTIFS(Deadlines!$D$6:$D$205,A19,Deadlines!$H$6:$H$205,"&lt;&gt;Completed",Deadlines!$G$6:$G$205,"&lt;&gt;")=0,"",MINIFS(Deadlines!$G$6:$G$205,Deadlines!$D$6:$D$205,A19,Deadlines!$H$6:$H$205,"&lt;&gt;Completed")))</f>
        <v/>
      </c>
      <c r="I19" s="66" t="str">
        <f t="shared" si="1"/>
        <v/>
      </c>
      <c r="J19" s="66" t="str">
        <f>IF(A19="","",COUNTIFS(Tasks!$D$6:$D$205,A19,Tasks!$G$6:$G$205,"&lt;&gt;Done",Tasks!$H$6:$H$205,TRUE)+COUNTIFS(Documents!$K$6:$K$205,A19,Documents!$G$6:$G$205,"&lt;&gt;Ready")+COUNTIFS(Essays!$C$6:$C$205,A19,Essays!$G$6:$G$205,"&lt;&gt;Final")+COUNTIFS(Recommenders!$G$6:$G$205,A19,Recommenders!$H$6:$H$205,"&lt;&gt;Submitted"))</f>
        <v/>
      </c>
      <c r="K19" s="104"/>
      <c r="L19" s="99"/>
      <c r="M19" s="99"/>
      <c r="N19" s="65"/>
      <c r="O19" s="99"/>
      <c r="P19" s="65"/>
      <c r="Q19" s="78"/>
      <c r="R19" s="78"/>
      <c r="S19" s="78"/>
    </row>
    <row r="20" ht="24.0" customHeight="1">
      <c r="A20" s="78"/>
      <c r="B20" s="78"/>
      <c r="C20" s="97" t="str">
        <f t="array" ref="C20">IF(B20="","",IFERROR(INDEX(Programs!$C$6:$C$205,MATCH(B20,Programs!$A$6:$A$205,0)),""))</f>
        <v/>
      </c>
      <c r="D20" s="97" t="str">
        <f t="array" ref="D20">IF(B20="","",IFERROR(INDEX(Programs!$B$6:$B$205,MATCH(B20,Programs!$A$6:$A$205,0)),""))</f>
        <v/>
      </c>
      <c r="E20" s="99"/>
      <c r="F20" s="99"/>
      <c r="G20" s="78"/>
      <c r="H20" s="74" t="str">
        <f>IF(A20="","",IF(COUNTIFS(Deadlines!$D$6:$D$205,A20,Deadlines!$H$6:$H$205,"&lt;&gt;Completed",Deadlines!$G$6:$G$205,"&lt;&gt;")=0,"",MINIFS(Deadlines!$G$6:$G$205,Deadlines!$D$6:$D$205,A20,Deadlines!$H$6:$H$205,"&lt;&gt;Completed")))</f>
        <v/>
      </c>
      <c r="I20" s="66" t="str">
        <f t="shared" si="1"/>
        <v/>
      </c>
      <c r="J20" s="66" t="str">
        <f>IF(A20="","",COUNTIFS(Tasks!$D$6:$D$205,A20,Tasks!$G$6:$G$205,"&lt;&gt;Done",Tasks!$H$6:$H$205,TRUE)+COUNTIFS(Documents!$K$6:$K$205,A20,Documents!$G$6:$G$205,"&lt;&gt;Ready")+COUNTIFS(Essays!$C$6:$C$205,A20,Essays!$G$6:$G$205,"&lt;&gt;Final")+COUNTIFS(Recommenders!$G$6:$G$205,A20,Recommenders!$H$6:$H$205,"&lt;&gt;Submitted"))</f>
        <v/>
      </c>
      <c r="K20" s="104"/>
      <c r="L20" s="99"/>
      <c r="M20" s="99"/>
      <c r="N20" s="65"/>
      <c r="O20" s="99"/>
      <c r="P20" s="65"/>
      <c r="Q20" s="78"/>
      <c r="R20" s="78"/>
      <c r="S20" s="78"/>
    </row>
    <row r="21" ht="24.0" customHeight="1">
      <c r="A21" s="78"/>
      <c r="B21" s="78"/>
      <c r="C21" s="97" t="str">
        <f t="array" ref="C21">IF(B21="","",IFERROR(INDEX(Programs!$C$6:$C$205,MATCH(B21,Programs!$A$6:$A$205,0)),""))</f>
        <v/>
      </c>
      <c r="D21" s="97" t="str">
        <f t="array" ref="D21">IF(B21="","",IFERROR(INDEX(Programs!$B$6:$B$205,MATCH(B21,Programs!$A$6:$A$205,0)),""))</f>
        <v/>
      </c>
      <c r="E21" s="99"/>
      <c r="F21" s="99"/>
      <c r="G21" s="78"/>
      <c r="H21" s="74" t="str">
        <f>IF(A21="","",IF(COUNTIFS(Deadlines!$D$6:$D$205,A21,Deadlines!$H$6:$H$205,"&lt;&gt;Completed",Deadlines!$G$6:$G$205,"&lt;&gt;")=0,"",MINIFS(Deadlines!$G$6:$G$205,Deadlines!$D$6:$D$205,A21,Deadlines!$H$6:$H$205,"&lt;&gt;Completed")))</f>
        <v/>
      </c>
      <c r="I21" s="66" t="str">
        <f t="shared" si="1"/>
        <v/>
      </c>
      <c r="J21" s="66" t="str">
        <f>IF(A21="","",COUNTIFS(Tasks!$D$6:$D$205,A21,Tasks!$G$6:$G$205,"&lt;&gt;Done",Tasks!$H$6:$H$205,TRUE)+COUNTIFS(Documents!$K$6:$K$205,A21,Documents!$G$6:$G$205,"&lt;&gt;Ready")+COUNTIFS(Essays!$C$6:$C$205,A21,Essays!$G$6:$G$205,"&lt;&gt;Final")+COUNTIFS(Recommenders!$G$6:$G$205,A21,Recommenders!$H$6:$H$205,"&lt;&gt;Submitted"))</f>
        <v/>
      </c>
      <c r="K21" s="104"/>
      <c r="L21" s="99"/>
      <c r="M21" s="99"/>
      <c r="N21" s="65"/>
      <c r="O21" s="99"/>
      <c r="P21" s="65"/>
      <c r="Q21" s="78"/>
      <c r="R21" s="78"/>
      <c r="S21" s="78"/>
    </row>
    <row r="22" ht="24.0" customHeight="1">
      <c r="A22" s="78"/>
      <c r="B22" s="78"/>
      <c r="C22" s="97" t="str">
        <f t="array" ref="C22">IF(B22="","",IFERROR(INDEX(Programs!$C$6:$C$205,MATCH(B22,Programs!$A$6:$A$205,0)),""))</f>
        <v/>
      </c>
      <c r="D22" s="97" t="str">
        <f t="array" ref="D22">IF(B22="","",IFERROR(INDEX(Programs!$B$6:$B$205,MATCH(B22,Programs!$A$6:$A$205,0)),""))</f>
        <v/>
      </c>
      <c r="E22" s="99"/>
      <c r="F22" s="99"/>
      <c r="G22" s="78"/>
      <c r="H22" s="74" t="str">
        <f>IF(A22="","",IF(COUNTIFS(Deadlines!$D$6:$D$205,A22,Deadlines!$H$6:$H$205,"&lt;&gt;Completed",Deadlines!$G$6:$G$205,"&lt;&gt;")=0,"",MINIFS(Deadlines!$G$6:$G$205,Deadlines!$D$6:$D$205,A22,Deadlines!$H$6:$H$205,"&lt;&gt;Completed")))</f>
        <v/>
      </c>
      <c r="I22" s="66" t="str">
        <f t="shared" si="1"/>
        <v/>
      </c>
      <c r="J22" s="66" t="str">
        <f>IF(A22="","",COUNTIFS(Tasks!$D$6:$D$205,A22,Tasks!$G$6:$G$205,"&lt;&gt;Done",Tasks!$H$6:$H$205,TRUE)+COUNTIFS(Documents!$K$6:$K$205,A22,Documents!$G$6:$G$205,"&lt;&gt;Ready")+COUNTIFS(Essays!$C$6:$C$205,A22,Essays!$G$6:$G$205,"&lt;&gt;Final")+COUNTIFS(Recommenders!$G$6:$G$205,A22,Recommenders!$H$6:$H$205,"&lt;&gt;Submitted"))</f>
        <v/>
      </c>
      <c r="K22" s="104"/>
      <c r="L22" s="99"/>
      <c r="M22" s="99"/>
      <c r="N22" s="65"/>
      <c r="O22" s="99"/>
      <c r="P22" s="65"/>
      <c r="Q22" s="78"/>
      <c r="R22" s="78"/>
      <c r="S22" s="78"/>
    </row>
    <row r="23" ht="24.0" customHeight="1">
      <c r="A23" s="78"/>
      <c r="B23" s="78"/>
      <c r="C23" s="97" t="str">
        <f t="array" ref="C23">IF(B23="","",IFERROR(INDEX(Programs!$C$6:$C$205,MATCH(B23,Programs!$A$6:$A$205,0)),""))</f>
        <v/>
      </c>
      <c r="D23" s="97" t="str">
        <f t="array" ref="D23">IF(B23="","",IFERROR(INDEX(Programs!$B$6:$B$205,MATCH(B23,Programs!$A$6:$A$205,0)),""))</f>
        <v/>
      </c>
      <c r="E23" s="99"/>
      <c r="F23" s="99"/>
      <c r="G23" s="78"/>
      <c r="H23" s="74" t="str">
        <f>IF(A23="","",IF(COUNTIFS(Deadlines!$D$6:$D$205,A23,Deadlines!$H$6:$H$205,"&lt;&gt;Completed",Deadlines!$G$6:$G$205,"&lt;&gt;")=0,"",MINIFS(Deadlines!$G$6:$G$205,Deadlines!$D$6:$D$205,A23,Deadlines!$H$6:$H$205,"&lt;&gt;Completed")))</f>
        <v/>
      </c>
      <c r="I23" s="66" t="str">
        <f t="shared" si="1"/>
        <v/>
      </c>
      <c r="J23" s="66" t="str">
        <f>IF(A23="","",COUNTIFS(Tasks!$D$6:$D$205,A23,Tasks!$G$6:$G$205,"&lt;&gt;Done",Tasks!$H$6:$H$205,TRUE)+COUNTIFS(Documents!$K$6:$K$205,A23,Documents!$G$6:$G$205,"&lt;&gt;Ready")+COUNTIFS(Essays!$C$6:$C$205,A23,Essays!$G$6:$G$205,"&lt;&gt;Final")+COUNTIFS(Recommenders!$G$6:$G$205,A23,Recommenders!$H$6:$H$205,"&lt;&gt;Submitted"))</f>
        <v/>
      </c>
      <c r="K23" s="104"/>
      <c r="L23" s="99"/>
      <c r="M23" s="99"/>
      <c r="N23" s="65"/>
      <c r="O23" s="99"/>
      <c r="P23" s="65"/>
      <c r="Q23" s="78"/>
      <c r="R23" s="78"/>
      <c r="S23" s="78"/>
    </row>
    <row r="24" ht="24.0" customHeight="1">
      <c r="A24" s="78"/>
      <c r="B24" s="78"/>
      <c r="C24" s="97" t="str">
        <f t="array" ref="C24">IF(B24="","",IFERROR(INDEX(Programs!$C$6:$C$205,MATCH(B24,Programs!$A$6:$A$205,0)),""))</f>
        <v/>
      </c>
      <c r="D24" s="97" t="str">
        <f t="array" ref="D24">IF(B24="","",IFERROR(INDEX(Programs!$B$6:$B$205,MATCH(B24,Programs!$A$6:$A$205,0)),""))</f>
        <v/>
      </c>
      <c r="E24" s="99"/>
      <c r="F24" s="99"/>
      <c r="G24" s="78"/>
      <c r="H24" s="74" t="str">
        <f>IF(A24="","",IF(COUNTIFS(Deadlines!$D$6:$D$205,A24,Deadlines!$H$6:$H$205,"&lt;&gt;Completed",Deadlines!$G$6:$G$205,"&lt;&gt;")=0,"",MINIFS(Deadlines!$G$6:$G$205,Deadlines!$D$6:$D$205,A24,Deadlines!$H$6:$H$205,"&lt;&gt;Completed")))</f>
        <v/>
      </c>
      <c r="I24" s="66" t="str">
        <f t="shared" si="1"/>
        <v/>
      </c>
      <c r="J24" s="66" t="str">
        <f>IF(A24="","",COUNTIFS(Tasks!$D$6:$D$205,A24,Tasks!$G$6:$G$205,"&lt;&gt;Done",Tasks!$H$6:$H$205,TRUE)+COUNTIFS(Documents!$K$6:$K$205,A24,Documents!$G$6:$G$205,"&lt;&gt;Ready")+COUNTIFS(Essays!$C$6:$C$205,A24,Essays!$G$6:$G$205,"&lt;&gt;Final")+COUNTIFS(Recommenders!$G$6:$G$205,A24,Recommenders!$H$6:$H$205,"&lt;&gt;Submitted"))</f>
        <v/>
      </c>
      <c r="K24" s="104"/>
      <c r="L24" s="99"/>
      <c r="M24" s="99"/>
      <c r="N24" s="65"/>
      <c r="O24" s="99"/>
      <c r="P24" s="65"/>
      <c r="Q24" s="78"/>
      <c r="R24" s="78"/>
      <c r="S24" s="78"/>
    </row>
    <row r="25" ht="24.0" customHeight="1">
      <c r="A25" s="78"/>
      <c r="B25" s="78"/>
      <c r="C25" s="97" t="str">
        <f t="array" ref="C25">IF(B25="","",IFERROR(INDEX(Programs!$C$6:$C$205,MATCH(B25,Programs!$A$6:$A$205,0)),""))</f>
        <v/>
      </c>
      <c r="D25" s="97" t="str">
        <f t="array" ref="D25">IF(B25="","",IFERROR(INDEX(Programs!$B$6:$B$205,MATCH(B25,Programs!$A$6:$A$205,0)),""))</f>
        <v/>
      </c>
      <c r="E25" s="99"/>
      <c r="F25" s="99"/>
      <c r="G25" s="78"/>
      <c r="H25" s="74" t="str">
        <f>IF(A25="","",IF(COUNTIFS(Deadlines!$D$6:$D$205,A25,Deadlines!$H$6:$H$205,"&lt;&gt;Completed",Deadlines!$G$6:$G$205,"&lt;&gt;")=0,"",MINIFS(Deadlines!$G$6:$G$205,Deadlines!$D$6:$D$205,A25,Deadlines!$H$6:$H$205,"&lt;&gt;Completed")))</f>
        <v/>
      </c>
      <c r="I25" s="66" t="str">
        <f t="shared" si="1"/>
        <v/>
      </c>
      <c r="J25" s="66" t="str">
        <f>IF(A25="","",COUNTIFS(Tasks!$D$6:$D$205,A25,Tasks!$G$6:$G$205,"&lt;&gt;Done",Tasks!$H$6:$H$205,TRUE)+COUNTIFS(Documents!$K$6:$K$205,A25,Documents!$G$6:$G$205,"&lt;&gt;Ready")+COUNTIFS(Essays!$C$6:$C$205,A25,Essays!$G$6:$G$205,"&lt;&gt;Final")+COUNTIFS(Recommenders!$G$6:$G$205,A25,Recommenders!$H$6:$H$205,"&lt;&gt;Submitted"))</f>
        <v/>
      </c>
      <c r="K25" s="104"/>
      <c r="L25" s="99"/>
      <c r="M25" s="99"/>
      <c r="N25" s="65"/>
      <c r="O25" s="99"/>
      <c r="P25" s="65"/>
      <c r="Q25" s="78"/>
      <c r="R25" s="78"/>
      <c r="S25" s="78"/>
    </row>
    <row r="26" ht="24.0" customHeight="1">
      <c r="A26" s="78"/>
      <c r="B26" s="78"/>
      <c r="C26" s="97" t="str">
        <f t="array" ref="C26">IF(B26="","",IFERROR(INDEX(Programs!$C$6:$C$205,MATCH(B26,Programs!$A$6:$A$205,0)),""))</f>
        <v/>
      </c>
      <c r="D26" s="97" t="str">
        <f t="array" ref="D26">IF(B26="","",IFERROR(INDEX(Programs!$B$6:$B$205,MATCH(B26,Programs!$A$6:$A$205,0)),""))</f>
        <v/>
      </c>
      <c r="E26" s="99"/>
      <c r="F26" s="99"/>
      <c r="G26" s="78"/>
      <c r="H26" s="74" t="str">
        <f>IF(A26="","",IF(COUNTIFS(Deadlines!$D$6:$D$205,A26,Deadlines!$H$6:$H$205,"&lt;&gt;Completed",Deadlines!$G$6:$G$205,"&lt;&gt;")=0,"",MINIFS(Deadlines!$G$6:$G$205,Deadlines!$D$6:$D$205,A26,Deadlines!$H$6:$H$205,"&lt;&gt;Completed")))</f>
        <v/>
      </c>
      <c r="I26" s="66" t="str">
        <f t="shared" si="1"/>
        <v/>
      </c>
      <c r="J26" s="66" t="str">
        <f>IF(A26="","",COUNTIFS(Tasks!$D$6:$D$205,A26,Tasks!$G$6:$G$205,"&lt;&gt;Done",Tasks!$H$6:$H$205,TRUE)+COUNTIFS(Documents!$K$6:$K$205,A26,Documents!$G$6:$G$205,"&lt;&gt;Ready")+COUNTIFS(Essays!$C$6:$C$205,A26,Essays!$G$6:$G$205,"&lt;&gt;Final")+COUNTIFS(Recommenders!$G$6:$G$205,A26,Recommenders!$H$6:$H$205,"&lt;&gt;Submitted"))</f>
        <v/>
      </c>
      <c r="K26" s="104"/>
      <c r="L26" s="99"/>
      <c r="M26" s="99"/>
      <c r="N26" s="65"/>
      <c r="O26" s="99"/>
      <c r="P26" s="65"/>
      <c r="Q26" s="78"/>
      <c r="R26" s="78"/>
      <c r="S26" s="78"/>
    </row>
    <row r="27" ht="24.0" customHeight="1">
      <c r="A27" s="78"/>
      <c r="B27" s="78"/>
      <c r="C27" s="97" t="str">
        <f t="array" ref="C27">IF(B27="","",IFERROR(INDEX(Programs!$C$6:$C$205,MATCH(B27,Programs!$A$6:$A$205,0)),""))</f>
        <v/>
      </c>
      <c r="D27" s="97" t="str">
        <f t="array" ref="D27">IF(B27="","",IFERROR(INDEX(Programs!$B$6:$B$205,MATCH(B27,Programs!$A$6:$A$205,0)),""))</f>
        <v/>
      </c>
      <c r="E27" s="99"/>
      <c r="F27" s="99"/>
      <c r="G27" s="78"/>
      <c r="H27" s="74" t="str">
        <f>IF(A27="","",IF(COUNTIFS(Deadlines!$D$6:$D$205,A27,Deadlines!$H$6:$H$205,"&lt;&gt;Completed",Deadlines!$G$6:$G$205,"&lt;&gt;")=0,"",MINIFS(Deadlines!$G$6:$G$205,Deadlines!$D$6:$D$205,A27,Deadlines!$H$6:$H$205,"&lt;&gt;Completed")))</f>
        <v/>
      </c>
      <c r="I27" s="66" t="str">
        <f t="shared" si="1"/>
        <v/>
      </c>
      <c r="J27" s="66" t="str">
        <f>IF(A27="","",COUNTIFS(Tasks!$D$6:$D$205,A27,Tasks!$G$6:$G$205,"&lt;&gt;Done",Tasks!$H$6:$H$205,TRUE)+COUNTIFS(Documents!$K$6:$K$205,A27,Documents!$G$6:$G$205,"&lt;&gt;Ready")+COUNTIFS(Essays!$C$6:$C$205,A27,Essays!$G$6:$G$205,"&lt;&gt;Final")+COUNTIFS(Recommenders!$G$6:$G$205,A27,Recommenders!$H$6:$H$205,"&lt;&gt;Submitted"))</f>
        <v/>
      </c>
      <c r="K27" s="104"/>
      <c r="L27" s="99"/>
      <c r="M27" s="99"/>
      <c r="N27" s="65"/>
      <c r="O27" s="99"/>
      <c r="P27" s="65"/>
      <c r="Q27" s="78"/>
      <c r="R27" s="78"/>
      <c r="S27" s="78"/>
    </row>
    <row r="28" ht="24.0" customHeight="1">
      <c r="A28" s="78"/>
      <c r="B28" s="78"/>
      <c r="C28" s="97" t="str">
        <f t="array" ref="C28">IF(B28="","",IFERROR(INDEX(Programs!$C$6:$C$205,MATCH(B28,Programs!$A$6:$A$205,0)),""))</f>
        <v/>
      </c>
      <c r="D28" s="97" t="str">
        <f t="array" ref="D28">IF(B28="","",IFERROR(INDEX(Programs!$B$6:$B$205,MATCH(B28,Programs!$A$6:$A$205,0)),""))</f>
        <v/>
      </c>
      <c r="E28" s="99"/>
      <c r="F28" s="99"/>
      <c r="G28" s="78"/>
      <c r="H28" s="74" t="str">
        <f>IF(A28="","",IF(COUNTIFS(Deadlines!$D$6:$D$205,A28,Deadlines!$H$6:$H$205,"&lt;&gt;Completed",Deadlines!$G$6:$G$205,"&lt;&gt;")=0,"",MINIFS(Deadlines!$G$6:$G$205,Deadlines!$D$6:$D$205,A28,Deadlines!$H$6:$H$205,"&lt;&gt;Completed")))</f>
        <v/>
      </c>
      <c r="I28" s="66" t="str">
        <f t="shared" si="1"/>
        <v/>
      </c>
      <c r="J28" s="66" t="str">
        <f>IF(A28="","",COUNTIFS(Tasks!$D$6:$D$205,A28,Tasks!$G$6:$G$205,"&lt;&gt;Done",Tasks!$H$6:$H$205,TRUE)+COUNTIFS(Documents!$K$6:$K$205,A28,Documents!$G$6:$G$205,"&lt;&gt;Ready")+COUNTIFS(Essays!$C$6:$C$205,A28,Essays!$G$6:$G$205,"&lt;&gt;Final")+COUNTIFS(Recommenders!$G$6:$G$205,A28,Recommenders!$H$6:$H$205,"&lt;&gt;Submitted"))</f>
        <v/>
      </c>
      <c r="K28" s="104"/>
      <c r="L28" s="99"/>
      <c r="M28" s="99"/>
      <c r="N28" s="65"/>
      <c r="O28" s="99"/>
      <c r="P28" s="65"/>
      <c r="Q28" s="78"/>
      <c r="R28" s="78"/>
      <c r="S28" s="78"/>
    </row>
    <row r="29" ht="24.0" customHeight="1">
      <c r="A29" s="78"/>
      <c r="B29" s="78"/>
      <c r="C29" s="97" t="str">
        <f t="array" ref="C29">IF(B29="","",IFERROR(INDEX(Programs!$C$6:$C$205,MATCH(B29,Programs!$A$6:$A$205,0)),""))</f>
        <v/>
      </c>
      <c r="D29" s="97" t="str">
        <f t="array" ref="D29">IF(B29="","",IFERROR(INDEX(Programs!$B$6:$B$205,MATCH(B29,Programs!$A$6:$A$205,0)),""))</f>
        <v/>
      </c>
      <c r="E29" s="99"/>
      <c r="F29" s="99"/>
      <c r="G29" s="78"/>
      <c r="H29" s="74" t="str">
        <f>IF(A29="","",IF(COUNTIFS(Deadlines!$D$6:$D$205,A29,Deadlines!$H$6:$H$205,"&lt;&gt;Completed",Deadlines!$G$6:$G$205,"&lt;&gt;")=0,"",MINIFS(Deadlines!$G$6:$G$205,Deadlines!$D$6:$D$205,A29,Deadlines!$H$6:$H$205,"&lt;&gt;Completed")))</f>
        <v/>
      </c>
      <c r="I29" s="66" t="str">
        <f t="shared" si="1"/>
        <v/>
      </c>
      <c r="J29" s="66" t="str">
        <f>IF(A29="","",COUNTIFS(Tasks!$D$6:$D$205,A29,Tasks!$G$6:$G$205,"&lt;&gt;Done",Tasks!$H$6:$H$205,TRUE)+COUNTIFS(Documents!$K$6:$K$205,A29,Documents!$G$6:$G$205,"&lt;&gt;Ready")+COUNTIFS(Essays!$C$6:$C$205,A29,Essays!$G$6:$G$205,"&lt;&gt;Final")+COUNTIFS(Recommenders!$G$6:$G$205,A29,Recommenders!$H$6:$H$205,"&lt;&gt;Submitted"))</f>
        <v/>
      </c>
      <c r="K29" s="104"/>
      <c r="L29" s="99"/>
      <c r="M29" s="99"/>
      <c r="N29" s="65"/>
      <c r="O29" s="99"/>
      <c r="P29" s="65"/>
      <c r="Q29" s="78"/>
      <c r="R29" s="78"/>
      <c r="S29" s="78"/>
    </row>
    <row r="30" ht="24.0" customHeight="1">
      <c r="A30" s="78"/>
      <c r="B30" s="78"/>
      <c r="C30" s="97" t="str">
        <f t="array" ref="C30">IF(B30="","",IFERROR(INDEX(Programs!$C$6:$C$205,MATCH(B30,Programs!$A$6:$A$205,0)),""))</f>
        <v/>
      </c>
      <c r="D30" s="97" t="str">
        <f t="array" ref="D30">IF(B30="","",IFERROR(INDEX(Programs!$B$6:$B$205,MATCH(B30,Programs!$A$6:$A$205,0)),""))</f>
        <v/>
      </c>
      <c r="E30" s="99"/>
      <c r="F30" s="99"/>
      <c r="G30" s="78"/>
      <c r="H30" s="74" t="str">
        <f>IF(A30="","",IF(COUNTIFS(Deadlines!$D$6:$D$205,A30,Deadlines!$H$6:$H$205,"&lt;&gt;Completed",Deadlines!$G$6:$G$205,"&lt;&gt;")=0,"",MINIFS(Deadlines!$G$6:$G$205,Deadlines!$D$6:$D$205,A30,Deadlines!$H$6:$H$205,"&lt;&gt;Completed")))</f>
        <v/>
      </c>
      <c r="I30" s="66" t="str">
        <f t="shared" si="1"/>
        <v/>
      </c>
      <c r="J30" s="66" t="str">
        <f>IF(A30="","",COUNTIFS(Tasks!$D$6:$D$205,A30,Tasks!$G$6:$G$205,"&lt;&gt;Done",Tasks!$H$6:$H$205,TRUE)+COUNTIFS(Documents!$K$6:$K$205,A30,Documents!$G$6:$G$205,"&lt;&gt;Ready")+COUNTIFS(Essays!$C$6:$C$205,A30,Essays!$G$6:$G$205,"&lt;&gt;Final")+COUNTIFS(Recommenders!$G$6:$G$205,A30,Recommenders!$H$6:$H$205,"&lt;&gt;Submitted"))</f>
        <v/>
      </c>
      <c r="K30" s="104"/>
      <c r="L30" s="99"/>
      <c r="M30" s="99"/>
      <c r="N30" s="65"/>
      <c r="O30" s="99"/>
      <c r="P30" s="65"/>
      <c r="Q30" s="78"/>
      <c r="R30" s="78"/>
      <c r="S30" s="78"/>
    </row>
    <row r="31" ht="24.0" customHeight="1">
      <c r="A31" s="78"/>
      <c r="B31" s="78"/>
      <c r="C31" s="97" t="str">
        <f t="array" ref="C31">IF(B31="","",IFERROR(INDEX(Programs!$C$6:$C$205,MATCH(B31,Programs!$A$6:$A$205,0)),""))</f>
        <v/>
      </c>
      <c r="D31" s="97" t="str">
        <f t="array" ref="D31">IF(B31="","",IFERROR(INDEX(Programs!$B$6:$B$205,MATCH(B31,Programs!$A$6:$A$205,0)),""))</f>
        <v/>
      </c>
      <c r="E31" s="99"/>
      <c r="F31" s="99"/>
      <c r="G31" s="78"/>
      <c r="H31" s="74" t="str">
        <f>IF(A31="","",IF(COUNTIFS(Deadlines!$D$6:$D$205,A31,Deadlines!$H$6:$H$205,"&lt;&gt;Completed",Deadlines!$G$6:$G$205,"&lt;&gt;")=0,"",MINIFS(Deadlines!$G$6:$G$205,Deadlines!$D$6:$D$205,A31,Deadlines!$H$6:$H$205,"&lt;&gt;Completed")))</f>
        <v/>
      </c>
      <c r="I31" s="66" t="str">
        <f t="shared" si="1"/>
        <v/>
      </c>
      <c r="J31" s="66" t="str">
        <f>IF(A31="","",COUNTIFS(Tasks!$D$6:$D$205,A31,Tasks!$G$6:$G$205,"&lt;&gt;Done",Tasks!$H$6:$H$205,TRUE)+COUNTIFS(Documents!$K$6:$K$205,A31,Documents!$G$6:$G$205,"&lt;&gt;Ready")+COUNTIFS(Essays!$C$6:$C$205,A31,Essays!$G$6:$G$205,"&lt;&gt;Final")+COUNTIFS(Recommenders!$G$6:$G$205,A31,Recommenders!$H$6:$H$205,"&lt;&gt;Submitted"))</f>
        <v/>
      </c>
      <c r="K31" s="104"/>
      <c r="L31" s="99"/>
      <c r="M31" s="99"/>
      <c r="N31" s="65"/>
      <c r="O31" s="99"/>
      <c r="P31" s="65"/>
      <c r="Q31" s="78"/>
      <c r="R31" s="78"/>
      <c r="S31" s="78"/>
    </row>
    <row r="32" ht="24.0" customHeight="1">
      <c r="A32" s="78"/>
      <c r="B32" s="78"/>
      <c r="C32" s="97" t="str">
        <f t="array" ref="C32">IF(B32="","",IFERROR(INDEX(Programs!$C$6:$C$205,MATCH(B32,Programs!$A$6:$A$205,0)),""))</f>
        <v/>
      </c>
      <c r="D32" s="97" t="str">
        <f t="array" ref="D32">IF(B32="","",IFERROR(INDEX(Programs!$B$6:$B$205,MATCH(B32,Programs!$A$6:$A$205,0)),""))</f>
        <v/>
      </c>
      <c r="E32" s="99"/>
      <c r="F32" s="99"/>
      <c r="G32" s="78"/>
      <c r="H32" s="74" t="str">
        <f>IF(A32="","",IF(COUNTIFS(Deadlines!$D$6:$D$205,A32,Deadlines!$H$6:$H$205,"&lt;&gt;Completed",Deadlines!$G$6:$G$205,"&lt;&gt;")=0,"",MINIFS(Deadlines!$G$6:$G$205,Deadlines!$D$6:$D$205,A32,Deadlines!$H$6:$H$205,"&lt;&gt;Completed")))</f>
        <v/>
      </c>
      <c r="I32" s="66" t="str">
        <f t="shared" si="1"/>
        <v/>
      </c>
      <c r="J32" s="66" t="str">
        <f>IF(A32="","",COUNTIFS(Tasks!$D$6:$D$205,A32,Tasks!$G$6:$G$205,"&lt;&gt;Done",Tasks!$H$6:$H$205,TRUE)+COUNTIFS(Documents!$K$6:$K$205,A32,Documents!$G$6:$G$205,"&lt;&gt;Ready")+COUNTIFS(Essays!$C$6:$C$205,A32,Essays!$G$6:$G$205,"&lt;&gt;Final")+COUNTIFS(Recommenders!$G$6:$G$205,A32,Recommenders!$H$6:$H$205,"&lt;&gt;Submitted"))</f>
        <v/>
      </c>
      <c r="K32" s="104"/>
      <c r="L32" s="99"/>
      <c r="M32" s="99"/>
      <c r="N32" s="65"/>
      <c r="O32" s="99"/>
      <c r="P32" s="65"/>
      <c r="Q32" s="78"/>
      <c r="R32" s="78"/>
      <c r="S32" s="78"/>
    </row>
    <row r="33" ht="24.0" customHeight="1">
      <c r="A33" s="78"/>
      <c r="B33" s="78"/>
      <c r="C33" s="97" t="str">
        <f t="array" ref="C33">IF(B33="","",IFERROR(INDEX(Programs!$C$6:$C$205,MATCH(B33,Programs!$A$6:$A$205,0)),""))</f>
        <v/>
      </c>
      <c r="D33" s="97" t="str">
        <f t="array" ref="D33">IF(B33="","",IFERROR(INDEX(Programs!$B$6:$B$205,MATCH(B33,Programs!$A$6:$A$205,0)),""))</f>
        <v/>
      </c>
      <c r="E33" s="99"/>
      <c r="F33" s="99"/>
      <c r="G33" s="78"/>
      <c r="H33" s="74" t="str">
        <f>IF(A33="","",IF(COUNTIFS(Deadlines!$D$6:$D$205,A33,Deadlines!$H$6:$H$205,"&lt;&gt;Completed",Deadlines!$G$6:$G$205,"&lt;&gt;")=0,"",MINIFS(Deadlines!$G$6:$G$205,Deadlines!$D$6:$D$205,A33,Deadlines!$H$6:$H$205,"&lt;&gt;Completed")))</f>
        <v/>
      </c>
      <c r="I33" s="66" t="str">
        <f t="shared" si="1"/>
        <v/>
      </c>
      <c r="J33" s="66" t="str">
        <f>IF(A33="","",COUNTIFS(Tasks!$D$6:$D$205,A33,Tasks!$G$6:$G$205,"&lt;&gt;Done",Tasks!$H$6:$H$205,TRUE)+COUNTIFS(Documents!$K$6:$K$205,A33,Documents!$G$6:$G$205,"&lt;&gt;Ready")+COUNTIFS(Essays!$C$6:$C$205,A33,Essays!$G$6:$G$205,"&lt;&gt;Final")+COUNTIFS(Recommenders!$G$6:$G$205,A33,Recommenders!$H$6:$H$205,"&lt;&gt;Submitted"))</f>
        <v/>
      </c>
      <c r="K33" s="104"/>
      <c r="L33" s="99"/>
      <c r="M33" s="99"/>
      <c r="N33" s="65"/>
      <c r="O33" s="99"/>
      <c r="P33" s="65"/>
      <c r="Q33" s="78"/>
      <c r="R33" s="78"/>
      <c r="S33" s="78"/>
    </row>
    <row r="34" ht="24.0" customHeight="1">
      <c r="A34" s="78"/>
      <c r="B34" s="78"/>
      <c r="C34" s="97" t="str">
        <f t="array" ref="C34">IF(B34="","",IFERROR(INDEX(Programs!$C$6:$C$205,MATCH(B34,Programs!$A$6:$A$205,0)),""))</f>
        <v/>
      </c>
      <c r="D34" s="97" t="str">
        <f t="array" ref="D34">IF(B34="","",IFERROR(INDEX(Programs!$B$6:$B$205,MATCH(B34,Programs!$A$6:$A$205,0)),""))</f>
        <v/>
      </c>
      <c r="E34" s="99"/>
      <c r="F34" s="99"/>
      <c r="G34" s="78"/>
      <c r="H34" s="74" t="str">
        <f>IF(A34="","",IF(COUNTIFS(Deadlines!$D$6:$D$205,A34,Deadlines!$H$6:$H$205,"&lt;&gt;Completed",Deadlines!$G$6:$G$205,"&lt;&gt;")=0,"",MINIFS(Deadlines!$G$6:$G$205,Deadlines!$D$6:$D$205,A34,Deadlines!$H$6:$H$205,"&lt;&gt;Completed")))</f>
        <v/>
      </c>
      <c r="I34" s="66" t="str">
        <f t="shared" si="1"/>
        <v/>
      </c>
      <c r="J34" s="66" t="str">
        <f>IF(A34="","",COUNTIFS(Tasks!$D$6:$D$205,A34,Tasks!$G$6:$G$205,"&lt;&gt;Done",Tasks!$H$6:$H$205,TRUE)+COUNTIFS(Documents!$K$6:$K$205,A34,Documents!$G$6:$G$205,"&lt;&gt;Ready")+COUNTIFS(Essays!$C$6:$C$205,A34,Essays!$G$6:$G$205,"&lt;&gt;Final")+COUNTIFS(Recommenders!$G$6:$G$205,A34,Recommenders!$H$6:$H$205,"&lt;&gt;Submitted"))</f>
        <v/>
      </c>
      <c r="K34" s="104"/>
      <c r="L34" s="99"/>
      <c r="M34" s="99"/>
      <c r="N34" s="65"/>
      <c r="O34" s="99"/>
      <c r="P34" s="65"/>
      <c r="Q34" s="78"/>
      <c r="R34" s="78"/>
      <c r="S34" s="78"/>
    </row>
    <row r="35" ht="24.0" customHeight="1">
      <c r="A35" s="78"/>
      <c r="B35" s="78"/>
      <c r="C35" s="97" t="str">
        <f t="array" ref="C35">IF(B35="","",IFERROR(INDEX(Programs!$C$6:$C$205,MATCH(B35,Programs!$A$6:$A$205,0)),""))</f>
        <v/>
      </c>
      <c r="D35" s="97" t="str">
        <f t="array" ref="D35">IF(B35="","",IFERROR(INDEX(Programs!$B$6:$B$205,MATCH(B35,Programs!$A$6:$A$205,0)),""))</f>
        <v/>
      </c>
      <c r="E35" s="99"/>
      <c r="F35" s="99"/>
      <c r="G35" s="78"/>
      <c r="H35" s="74" t="str">
        <f>IF(A35="","",IF(COUNTIFS(Deadlines!$D$6:$D$205,A35,Deadlines!$H$6:$H$205,"&lt;&gt;Completed",Deadlines!$G$6:$G$205,"&lt;&gt;")=0,"",MINIFS(Deadlines!$G$6:$G$205,Deadlines!$D$6:$D$205,A35,Deadlines!$H$6:$H$205,"&lt;&gt;Completed")))</f>
        <v/>
      </c>
      <c r="I35" s="66" t="str">
        <f t="shared" si="1"/>
        <v/>
      </c>
      <c r="J35" s="66" t="str">
        <f>IF(A35="","",COUNTIFS(Tasks!$D$6:$D$205,A35,Tasks!$G$6:$G$205,"&lt;&gt;Done",Tasks!$H$6:$H$205,TRUE)+COUNTIFS(Documents!$K$6:$K$205,A35,Documents!$G$6:$G$205,"&lt;&gt;Ready")+COUNTIFS(Essays!$C$6:$C$205,A35,Essays!$G$6:$G$205,"&lt;&gt;Final")+COUNTIFS(Recommenders!$G$6:$G$205,A35,Recommenders!$H$6:$H$205,"&lt;&gt;Submitted"))</f>
        <v/>
      </c>
      <c r="K35" s="104"/>
      <c r="L35" s="99"/>
      <c r="M35" s="99"/>
      <c r="N35" s="65"/>
      <c r="O35" s="99"/>
      <c r="P35" s="65"/>
      <c r="Q35" s="78"/>
      <c r="R35" s="78"/>
      <c r="S35" s="78"/>
    </row>
    <row r="36" ht="24.0" customHeight="1">
      <c r="A36" s="78"/>
      <c r="B36" s="78"/>
      <c r="C36" s="97" t="str">
        <f t="array" ref="C36">IF(B36="","",IFERROR(INDEX(Programs!$C$6:$C$205,MATCH(B36,Programs!$A$6:$A$205,0)),""))</f>
        <v/>
      </c>
      <c r="D36" s="97" t="str">
        <f t="array" ref="D36">IF(B36="","",IFERROR(INDEX(Programs!$B$6:$B$205,MATCH(B36,Programs!$A$6:$A$205,0)),""))</f>
        <v/>
      </c>
      <c r="E36" s="99"/>
      <c r="F36" s="99"/>
      <c r="G36" s="78"/>
      <c r="H36" s="74" t="str">
        <f>IF(A36="","",IF(COUNTIFS(Deadlines!$D$6:$D$205,A36,Deadlines!$H$6:$H$205,"&lt;&gt;Completed",Deadlines!$G$6:$G$205,"&lt;&gt;")=0,"",MINIFS(Deadlines!$G$6:$G$205,Deadlines!$D$6:$D$205,A36,Deadlines!$H$6:$H$205,"&lt;&gt;Completed")))</f>
        <v/>
      </c>
      <c r="I36" s="66" t="str">
        <f t="shared" si="1"/>
        <v/>
      </c>
      <c r="J36" s="66" t="str">
        <f>IF(A36="","",COUNTIFS(Tasks!$D$6:$D$205,A36,Tasks!$G$6:$G$205,"&lt;&gt;Done",Tasks!$H$6:$H$205,TRUE)+COUNTIFS(Documents!$K$6:$K$205,A36,Documents!$G$6:$G$205,"&lt;&gt;Ready")+COUNTIFS(Essays!$C$6:$C$205,A36,Essays!$G$6:$G$205,"&lt;&gt;Final")+COUNTIFS(Recommenders!$G$6:$G$205,A36,Recommenders!$H$6:$H$205,"&lt;&gt;Submitted"))</f>
        <v/>
      </c>
      <c r="K36" s="104"/>
      <c r="L36" s="99"/>
      <c r="M36" s="99"/>
      <c r="N36" s="65"/>
      <c r="O36" s="99"/>
      <c r="P36" s="65"/>
      <c r="Q36" s="78"/>
      <c r="R36" s="78"/>
      <c r="S36" s="78"/>
    </row>
    <row r="37" ht="24.0" customHeight="1">
      <c r="A37" s="78"/>
      <c r="B37" s="78"/>
      <c r="C37" s="97" t="str">
        <f t="array" ref="C37">IF(B37="","",IFERROR(INDEX(Programs!$C$6:$C$205,MATCH(B37,Programs!$A$6:$A$205,0)),""))</f>
        <v/>
      </c>
      <c r="D37" s="97" t="str">
        <f t="array" ref="D37">IF(B37="","",IFERROR(INDEX(Programs!$B$6:$B$205,MATCH(B37,Programs!$A$6:$A$205,0)),""))</f>
        <v/>
      </c>
      <c r="E37" s="99"/>
      <c r="F37" s="99"/>
      <c r="G37" s="78"/>
      <c r="H37" s="74" t="str">
        <f>IF(A37="","",IF(COUNTIFS(Deadlines!$D$6:$D$205,A37,Deadlines!$H$6:$H$205,"&lt;&gt;Completed",Deadlines!$G$6:$G$205,"&lt;&gt;")=0,"",MINIFS(Deadlines!$G$6:$G$205,Deadlines!$D$6:$D$205,A37,Deadlines!$H$6:$H$205,"&lt;&gt;Completed")))</f>
        <v/>
      </c>
      <c r="I37" s="66" t="str">
        <f t="shared" si="1"/>
        <v/>
      </c>
      <c r="J37" s="66" t="str">
        <f>IF(A37="","",COUNTIFS(Tasks!$D$6:$D$205,A37,Tasks!$G$6:$G$205,"&lt;&gt;Done",Tasks!$H$6:$H$205,TRUE)+COUNTIFS(Documents!$K$6:$K$205,A37,Documents!$G$6:$G$205,"&lt;&gt;Ready")+COUNTIFS(Essays!$C$6:$C$205,A37,Essays!$G$6:$G$205,"&lt;&gt;Final")+COUNTIFS(Recommenders!$G$6:$G$205,A37,Recommenders!$H$6:$H$205,"&lt;&gt;Submitted"))</f>
        <v/>
      </c>
      <c r="K37" s="104"/>
      <c r="L37" s="99"/>
      <c r="M37" s="99"/>
      <c r="N37" s="65"/>
      <c r="O37" s="99"/>
      <c r="P37" s="65"/>
      <c r="Q37" s="78"/>
      <c r="R37" s="78"/>
      <c r="S37" s="78"/>
    </row>
    <row r="38" ht="24.0" customHeight="1">
      <c r="A38" s="78"/>
      <c r="B38" s="78"/>
      <c r="C38" s="97" t="str">
        <f t="array" ref="C38">IF(B38="","",IFERROR(INDEX(Programs!$C$6:$C$205,MATCH(B38,Programs!$A$6:$A$205,0)),""))</f>
        <v/>
      </c>
      <c r="D38" s="97" t="str">
        <f t="array" ref="D38">IF(B38="","",IFERROR(INDEX(Programs!$B$6:$B$205,MATCH(B38,Programs!$A$6:$A$205,0)),""))</f>
        <v/>
      </c>
      <c r="E38" s="99"/>
      <c r="F38" s="99"/>
      <c r="G38" s="78"/>
      <c r="H38" s="74" t="str">
        <f>IF(A38="","",IF(COUNTIFS(Deadlines!$D$6:$D$205,A38,Deadlines!$H$6:$H$205,"&lt;&gt;Completed",Deadlines!$G$6:$G$205,"&lt;&gt;")=0,"",MINIFS(Deadlines!$G$6:$G$205,Deadlines!$D$6:$D$205,A38,Deadlines!$H$6:$H$205,"&lt;&gt;Completed")))</f>
        <v/>
      </c>
      <c r="I38" s="66" t="str">
        <f t="shared" si="1"/>
        <v/>
      </c>
      <c r="J38" s="66" t="str">
        <f>IF(A38="","",COUNTIFS(Tasks!$D$6:$D$205,A38,Tasks!$G$6:$G$205,"&lt;&gt;Done",Tasks!$H$6:$H$205,TRUE)+COUNTIFS(Documents!$K$6:$K$205,A38,Documents!$G$6:$G$205,"&lt;&gt;Ready")+COUNTIFS(Essays!$C$6:$C$205,A38,Essays!$G$6:$G$205,"&lt;&gt;Final")+COUNTIFS(Recommenders!$G$6:$G$205,A38,Recommenders!$H$6:$H$205,"&lt;&gt;Submitted"))</f>
        <v/>
      </c>
      <c r="K38" s="104"/>
      <c r="L38" s="99"/>
      <c r="M38" s="99"/>
      <c r="N38" s="65"/>
      <c r="O38" s="99"/>
      <c r="P38" s="65"/>
      <c r="Q38" s="78"/>
      <c r="R38" s="78"/>
      <c r="S38" s="78"/>
    </row>
    <row r="39" ht="24.0" customHeight="1">
      <c r="A39" s="78"/>
      <c r="B39" s="78"/>
      <c r="C39" s="97" t="str">
        <f t="array" ref="C39">IF(B39="","",IFERROR(INDEX(Programs!$C$6:$C$205,MATCH(B39,Programs!$A$6:$A$205,0)),""))</f>
        <v/>
      </c>
      <c r="D39" s="97" t="str">
        <f t="array" ref="D39">IF(B39="","",IFERROR(INDEX(Programs!$B$6:$B$205,MATCH(B39,Programs!$A$6:$A$205,0)),""))</f>
        <v/>
      </c>
      <c r="E39" s="99"/>
      <c r="F39" s="99"/>
      <c r="G39" s="78"/>
      <c r="H39" s="74" t="str">
        <f>IF(A39="","",IF(COUNTIFS(Deadlines!$D$6:$D$205,A39,Deadlines!$H$6:$H$205,"&lt;&gt;Completed",Deadlines!$G$6:$G$205,"&lt;&gt;")=0,"",MINIFS(Deadlines!$G$6:$G$205,Deadlines!$D$6:$D$205,A39,Deadlines!$H$6:$H$205,"&lt;&gt;Completed")))</f>
        <v/>
      </c>
      <c r="I39" s="66" t="str">
        <f t="shared" si="1"/>
        <v/>
      </c>
      <c r="J39" s="66" t="str">
        <f>IF(A39="","",COUNTIFS(Tasks!$D$6:$D$205,A39,Tasks!$G$6:$G$205,"&lt;&gt;Done",Tasks!$H$6:$H$205,TRUE)+COUNTIFS(Documents!$K$6:$K$205,A39,Documents!$G$6:$G$205,"&lt;&gt;Ready")+COUNTIFS(Essays!$C$6:$C$205,A39,Essays!$G$6:$G$205,"&lt;&gt;Final")+COUNTIFS(Recommenders!$G$6:$G$205,A39,Recommenders!$H$6:$H$205,"&lt;&gt;Submitted"))</f>
        <v/>
      </c>
      <c r="K39" s="104"/>
      <c r="L39" s="99"/>
      <c r="M39" s="99"/>
      <c r="N39" s="65"/>
      <c r="O39" s="99"/>
      <c r="P39" s="65"/>
      <c r="Q39" s="78"/>
      <c r="R39" s="78"/>
      <c r="S39" s="78"/>
    </row>
    <row r="40" ht="24.0" customHeight="1">
      <c r="A40" s="78"/>
      <c r="B40" s="78"/>
      <c r="C40" s="97" t="str">
        <f t="array" ref="C40">IF(B40="","",IFERROR(INDEX(Programs!$C$6:$C$205,MATCH(B40,Programs!$A$6:$A$205,0)),""))</f>
        <v/>
      </c>
      <c r="D40" s="97" t="str">
        <f t="array" ref="D40">IF(B40="","",IFERROR(INDEX(Programs!$B$6:$B$205,MATCH(B40,Programs!$A$6:$A$205,0)),""))</f>
        <v/>
      </c>
      <c r="E40" s="99"/>
      <c r="F40" s="99"/>
      <c r="G40" s="78"/>
      <c r="H40" s="74" t="str">
        <f>IF(A40="","",IF(COUNTIFS(Deadlines!$D$6:$D$205,A40,Deadlines!$H$6:$H$205,"&lt;&gt;Completed",Deadlines!$G$6:$G$205,"&lt;&gt;")=0,"",MINIFS(Deadlines!$G$6:$G$205,Deadlines!$D$6:$D$205,A40,Deadlines!$H$6:$H$205,"&lt;&gt;Completed")))</f>
        <v/>
      </c>
      <c r="I40" s="66" t="str">
        <f t="shared" si="1"/>
        <v/>
      </c>
      <c r="J40" s="66" t="str">
        <f>IF(A40="","",COUNTIFS(Tasks!$D$6:$D$205,A40,Tasks!$G$6:$G$205,"&lt;&gt;Done",Tasks!$H$6:$H$205,TRUE)+COUNTIFS(Documents!$K$6:$K$205,A40,Documents!$G$6:$G$205,"&lt;&gt;Ready")+COUNTIFS(Essays!$C$6:$C$205,A40,Essays!$G$6:$G$205,"&lt;&gt;Final")+COUNTIFS(Recommenders!$G$6:$G$205,A40,Recommenders!$H$6:$H$205,"&lt;&gt;Submitted"))</f>
        <v/>
      </c>
      <c r="K40" s="104"/>
      <c r="L40" s="99"/>
      <c r="M40" s="99"/>
      <c r="N40" s="65"/>
      <c r="O40" s="99"/>
      <c r="P40" s="65"/>
      <c r="Q40" s="78"/>
      <c r="R40" s="78"/>
      <c r="S40" s="78"/>
    </row>
    <row r="41" ht="24.0" customHeight="1">
      <c r="A41" s="78"/>
      <c r="B41" s="78"/>
      <c r="C41" s="97" t="str">
        <f t="array" ref="C41">IF(B41="","",IFERROR(INDEX(Programs!$C$6:$C$205,MATCH(B41,Programs!$A$6:$A$205,0)),""))</f>
        <v/>
      </c>
      <c r="D41" s="97" t="str">
        <f t="array" ref="D41">IF(B41="","",IFERROR(INDEX(Programs!$B$6:$B$205,MATCH(B41,Programs!$A$6:$A$205,0)),""))</f>
        <v/>
      </c>
      <c r="E41" s="99"/>
      <c r="F41" s="99"/>
      <c r="G41" s="78"/>
      <c r="H41" s="74" t="str">
        <f>IF(A41="","",IF(COUNTIFS(Deadlines!$D$6:$D$205,A41,Deadlines!$H$6:$H$205,"&lt;&gt;Completed",Deadlines!$G$6:$G$205,"&lt;&gt;")=0,"",MINIFS(Deadlines!$G$6:$G$205,Deadlines!$D$6:$D$205,A41,Deadlines!$H$6:$H$205,"&lt;&gt;Completed")))</f>
        <v/>
      </c>
      <c r="I41" s="66" t="str">
        <f t="shared" si="1"/>
        <v/>
      </c>
      <c r="J41" s="66" t="str">
        <f>IF(A41="","",COUNTIFS(Tasks!$D$6:$D$205,A41,Tasks!$G$6:$G$205,"&lt;&gt;Done",Tasks!$H$6:$H$205,TRUE)+COUNTIFS(Documents!$K$6:$K$205,A41,Documents!$G$6:$G$205,"&lt;&gt;Ready")+COUNTIFS(Essays!$C$6:$C$205,A41,Essays!$G$6:$G$205,"&lt;&gt;Final")+COUNTIFS(Recommenders!$G$6:$G$205,A41,Recommenders!$H$6:$H$205,"&lt;&gt;Submitted"))</f>
        <v/>
      </c>
      <c r="K41" s="104"/>
      <c r="L41" s="99"/>
      <c r="M41" s="99"/>
      <c r="N41" s="65"/>
      <c r="O41" s="99"/>
      <c r="P41" s="65"/>
      <c r="Q41" s="78"/>
      <c r="R41" s="78"/>
      <c r="S41" s="78"/>
    </row>
    <row r="42" ht="24.0" customHeight="1">
      <c r="A42" s="78"/>
      <c r="B42" s="78"/>
      <c r="C42" s="97" t="str">
        <f t="array" ref="C42">IF(B42="","",IFERROR(INDEX(Programs!$C$6:$C$205,MATCH(B42,Programs!$A$6:$A$205,0)),""))</f>
        <v/>
      </c>
      <c r="D42" s="97" t="str">
        <f t="array" ref="D42">IF(B42="","",IFERROR(INDEX(Programs!$B$6:$B$205,MATCH(B42,Programs!$A$6:$A$205,0)),""))</f>
        <v/>
      </c>
      <c r="E42" s="99"/>
      <c r="F42" s="99"/>
      <c r="G42" s="78"/>
      <c r="H42" s="74" t="str">
        <f>IF(A42="","",IF(COUNTIFS(Deadlines!$D$6:$D$205,A42,Deadlines!$H$6:$H$205,"&lt;&gt;Completed",Deadlines!$G$6:$G$205,"&lt;&gt;")=0,"",MINIFS(Deadlines!$G$6:$G$205,Deadlines!$D$6:$D$205,A42,Deadlines!$H$6:$H$205,"&lt;&gt;Completed")))</f>
        <v/>
      </c>
      <c r="I42" s="66" t="str">
        <f t="shared" si="1"/>
        <v/>
      </c>
      <c r="J42" s="66" t="str">
        <f>IF(A42="","",COUNTIFS(Tasks!$D$6:$D$205,A42,Tasks!$G$6:$G$205,"&lt;&gt;Done",Tasks!$H$6:$H$205,TRUE)+COUNTIFS(Documents!$K$6:$K$205,A42,Documents!$G$6:$G$205,"&lt;&gt;Ready")+COUNTIFS(Essays!$C$6:$C$205,A42,Essays!$G$6:$G$205,"&lt;&gt;Final")+COUNTIFS(Recommenders!$G$6:$G$205,A42,Recommenders!$H$6:$H$205,"&lt;&gt;Submitted"))</f>
        <v/>
      </c>
      <c r="K42" s="104"/>
      <c r="L42" s="99"/>
      <c r="M42" s="99"/>
      <c r="N42" s="65"/>
      <c r="O42" s="99"/>
      <c r="P42" s="65"/>
      <c r="Q42" s="78"/>
      <c r="R42" s="78"/>
      <c r="S42" s="78"/>
    </row>
    <row r="43" ht="24.0" customHeight="1">
      <c r="A43" s="78"/>
      <c r="B43" s="78"/>
      <c r="C43" s="97" t="str">
        <f t="array" ref="C43">IF(B43="","",IFERROR(INDEX(Programs!$C$6:$C$205,MATCH(B43,Programs!$A$6:$A$205,0)),""))</f>
        <v/>
      </c>
      <c r="D43" s="97" t="str">
        <f t="array" ref="D43">IF(B43="","",IFERROR(INDEX(Programs!$B$6:$B$205,MATCH(B43,Programs!$A$6:$A$205,0)),""))</f>
        <v/>
      </c>
      <c r="E43" s="99"/>
      <c r="F43" s="99"/>
      <c r="G43" s="78"/>
      <c r="H43" s="74" t="str">
        <f>IF(A43="","",IF(COUNTIFS(Deadlines!$D$6:$D$205,A43,Deadlines!$H$6:$H$205,"&lt;&gt;Completed",Deadlines!$G$6:$G$205,"&lt;&gt;")=0,"",MINIFS(Deadlines!$G$6:$G$205,Deadlines!$D$6:$D$205,A43,Deadlines!$H$6:$H$205,"&lt;&gt;Completed")))</f>
        <v/>
      </c>
      <c r="I43" s="66" t="str">
        <f t="shared" si="1"/>
        <v/>
      </c>
      <c r="J43" s="66" t="str">
        <f>IF(A43="","",COUNTIFS(Tasks!$D$6:$D$205,A43,Tasks!$G$6:$G$205,"&lt;&gt;Done",Tasks!$H$6:$H$205,TRUE)+COUNTIFS(Documents!$K$6:$K$205,A43,Documents!$G$6:$G$205,"&lt;&gt;Ready")+COUNTIFS(Essays!$C$6:$C$205,A43,Essays!$G$6:$G$205,"&lt;&gt;Final")+COUNTIFS(Recommenders!$G$6:$G$205,A43,Recommenders!$H$6:$H$205,"&lt;&gt;Submitted"))</f>
        <v/>
      </c>
      <c r="K43" s="104"/>
      <c r="L43" s="99"/>
      <c r="M43" s="99"/>
      <c r="N43" s="65"/>
      <c r="O43" s="99"/>
      <c r="P43" s="65"/>
      <c r="Q43" s="78"/>
      <c r="R43" s="78"/>
      <c r="S43" s="78"/>
    </row>
    <row r="44" ht="24.0" customHeight="1">
      <c r="A44" s="78"/>
      <c r="B44" s="78"/>
      <c r="C44" s="97" t="str">
        <f t="array" ref="C44">IF(B44="","",IFERROR(INDEX(Programs!$C$6:$C$205,MATCH(B44,Programs!$A$6:$A$205,0)),""))</f>
        <v/>
      </c>
      <c r="D44" s="97" t="str">
        <f t="array" ref="D44">IF(B44="","",IFERROR(INDEX(Programs!$B$6:$B$205,MATCH(B44,Programs!$A$6:$A$205,0)),""))</f>
        <v/>
      </c>
      <c r="E44" s="99"/>
      <c r="F44" s="99"/>
      <c r="G44" s="78"/>
      <c r="H44" s="74" t="str">
        <f>IF(A44="","",IF(COUNTIFS(Deadlines!$D$6:$D$205,A44,Deadlines!$H$6:$H$205,"&lt;&gt;Completed",Deadlines!$G$6:$G$205,"&lt;&gt;")=0,"",MINIFS(Deadlines!$G$6:$G$205,Deadlines!$D$6:$D$205,A44,Deadlines!$H$6:$H$205,"&lt;&gt;Completed")))</f>
        <v/>
      </c>
      <c r="I44" s="66" t="str">
        <f t="shared" si="1"/>
        <v/>
      </c>
      <c r="J44" s="66" t="str">
        <f>IF(A44="","",COUNTIFS(Tasks!$D$6:$D$205,A44,Tasks!$G$6:$G$205,"&lt;&gt;Done",Tasks!$H$6:$H$205,TRUE)+COUNTIFS(Documents!$K$6:$K$205,A44,Documents!$G$6:$G$205,"&lt;&gt;Ready")+COUNTIFS(Essays!$C$6:$C$205,A44,Essays!$G$6:$G$205,"&lt;&gt;Final")+COUNTIFS(Recommenders!$G$6:$G$205,A44,Recommenders!$H$6:$H$205,"&lt;&gt;Submitted"))</f>
        <v/>
      </c>
      <c r="K44" s="104"/>
      <c r="L44" s="99"/>
      <c r="M44" s="99"/>
      <c r="N44" s="65"/>
      <c r="O44" s="99"/>
      <c r="P44" s="65"/>
      <c r="Q44" s="78"/>
      <c r="R44" s="78"/>
      <c r="S44" s="78"/>
    </row>
    <row r="45" ht="24.0" customHeight="1">
      <c r="A45" s="78"/>
      <c r="B45" s="78"/>
      <c r="C45" s="97" t="str">
        <f t="array" ref="C45">IF(B45="","",IFERROR(INDEX(Programs!$C$6:$C$205,MATCH(B45,Programs!$A$6:$A$205,0)),""))</f>
        <v/>
      </c>
      <c r="D45" s="97" t="str">
        <f t="array" ref="D45">IF(B45="","",IFERROR(INDEX(Programs!$B$6:$B$205,MATCH(B45,Programs!$A$6:$A$205,0)),""))</f>
        <v/>
      </c>
      <c r="E45" s="99"/>
      <c r="F45" s="99"/>
      <c r="G45" s="78"/>
      <c r="H45" s="74" t="str">
        <f>IF(A45="","",IF(COUNTIFS(Deadlines!$D$6:$D$205,A45,Deadlines!$H$6:$H$205,"&lt;&gt;Completed",Deadlines!$G$6:$G$205,"&lt;&gt;")=0,"",MINIFS(Deadlines!$G$6:$G$205,Deadlines!$D$6:$D$205,A45,Deadlines!$H$6:$H$205,"&lt;&gt;Completed")))</f>
        <v/>
      </c>
      <c r="I45" s="66" t="str">
        <f t="shared" si="1"/>
        <v/>
      </c>
      <c r="J45" s="66" t="str">
        <f>IF(A45="","",COUNTIFS(Tasks!$D$6:$D$205,A45,Tasks!$G$6:$G$205,"&lt;&gt;Done",Tasks!$H$6:$H$205,TRUE)+COUNTIFS(Documents!$K$6:$K$205,A45,Documents!$G$6:$G$205,"&lt;&gt;Ready")+COUNTIFS(Essays!$C$6:$C$205,A45,Essays!$G$6:$G$205,"&lt;&gt;Final")+COUNTIFS(Recommenders!$G$6:$G$205,A45,Recommenders!$H$6:$H$205,"&lt;&gt;Submitted"))</f>
        <v/>
      </c>
      <c r="K45" s="104"/>
      <c r="L45" s="99"/>
      <c r="M45" s="99"/>
      <c r="N45" s="65"/>
      <c r="O45" s="99"/>
      <c r="P45" s="65"/>
      <c r="Q45" s="78"/>
      <c r="R45" s="78"/>
      <c r="S45" s="78"/>
    </row>
    <row r="46" ht="24.0" customHeight="1">
      <c r="A46" s="78"/>
      <c r="B46" s="78"/>
      <c r="C46" s="97" t="str">
        <f t="array" ref="C46">IF(B46="","",IFERROR(INDEX(Programs!$C$6:$C$205,MATCH(B46,Programs!$A$6:$A$205,0)),""))</f>
        <v/>
      </c>
      <c r="D46" s="97" t="str">
        <f t="array" ref="D46">IF(B46="","",IFERROR(INDEX(Programs!$B$6:$B$205,MATCH(B46,Programs!$A$6:$A$205,0)),""))</f>
        <v/>
      </c>
      <c r="E46" s="99"/>
      <c r="F46" s="99"/>
      <c r="G46" s="78"/>
      <c r="H46" s="74" t="str">
        <f>IF(A46="","",IF(COUNTIFS(Deadlines!$D$6:$D$205,A46,Deadlines!$H$6:$H$205,"&lt;&gt;Completed",Deadlines!$G$6:$G$205,"&lt;&gt;")=0,"",MINIFS(Deadlines!$G$6:$G$205,Deadlines!$D$6:$D$205,A46,Deadlines!$H$6:$H$205,"&lt;&gt;Completed")))</f>
        <v/>
      </c>
      <c r="I46" s="66" t="str">
        <f t="shared" si="1"/>
        <v/>
      </c>
      <c r="J46" s="66" t="str">
        <f>IF(A46="","",COUNTIFS(Tasks!$D$6:$D$205,A46,Tasks!$G$6:$G$205,"&lt;&gt;Done",Tasks!$H$6:$H$205,TRUE)+COUNTIFS(Documents!$K$6:$K$205,A46,Documents!$G$6:$G$205,"&lt;&gt;Ready")+COUNTIFS(Essays!$C$6:$C$205,A46,Essays!$G$6:$G$205,"&lt;&gt;Final")+COUNTIFS(Recommenders!$G$6:$G$205,A46,Recommenders!$H$6:$H$205,"&lt;&gt;Submitted"))</f>
        <v/>
      </c>
      <c r="K46" s="104"/>
      <c r="L46" s="99"/>
      <c r="M46" s="99"/>
      <c r="N46" s="65"/>
      <c r="O46" s="99"/>
      <c r="P46" s="65"/>
      <c r="Q46" s="78"/>
      <c r="R46" s="78"/>
      <c r="S46" s="78"/>
    </row>
    <row r="47" ht="24.0" customHeight="1">
      <c r="A47" s="78"/>
      <c r="B47" s="78"/>
      <c r="C47" s="97" t="str">
        <f t="array" ref="C47">IF(B47="","",IFERROR(INDEX(Programs!$C$6:$C$205,MATCH(B47,Programs!$A$6:$A$205,0)),""))</f>
        <v/>
      </c>
      <c r="D47" s="97" t="str">
        <f t="array" ref="D47">IF(B47="","",IFERROR(INDEX(Programs!$B$6:$B$205,MATCH(B47,Programs!$A$6:$A$205,0)),""))</f>
        <v/>
      </c>
      <c r="E47" s="99"/>
      <c r="F47" s="99"/>
      <c r="G47" s="78"/>
      <c r="H47" s="74" t="str">
        <f>IF(A47="","",IF(COUNTIFS(Deadlines!$D$6:$D$205,A47,Deadlines!$H$6:$H$205,"&lt;&gt;Completed",Deadlines!$G$6:$G$205,"&lt;&gt;")=0,"",MINIFS(Deadlines!$G$6:$G$205,Deadlines!$D$6:$D$205,A47,Deadlines!$H$6:$H$205,"&lt;&gt;Completed")))</f>
        <v/>
      </c>
      <c r="I47" s="66" t="str">
        <f t="shared" si="1"/>
        <v/>
      </c>
      <c r="J47" s="66" t="str">
        <f>IF(A47="","",COUNTIFS(Tasks!$D$6:$D$205,A47,Tasks!$G$6:$G$205,"&lt;&gt;Done",Tasks!$H$6:$H$205,TRUE)+COUNTIFS(Documents!$K$6:$K$205,A47,Documents!$G$6:$G$205,"&lt;&gt;Ready")+COUNTIFS(Essays!$C$6:$C$205,A47,Essays!$G$6:$G$205,"&lt;&gt;Final")+COUNTIFS(Recommenders!$G$6:$G$205,A47,Recommenders!$H$6:$H$205,"&lt;&gt;Submitted"))</f>
        <v/>
      </c>
      <c r="K47" s="104"/>
      <c r="L47" s="99"/>
      <c r="M47" s="99"/>
      <c r="N47" s="65"/>
      <c r="O47" s="99"/>
      <c r="P47" s="65"/>
      <c r="Q47" s="78"/>
      <c r="R47" s="78"/>
      <c r="S47" s="78"/>
    </row>
    <row r="48" ht="24.0" customHeight="1">
      <c r="A48" s="78"/>
      <c r="B48" s="78"/>
      <c r="C48" s="97" t="str">
        <f t="array" ref="C48">IF(B48="","",IFERROR(INDEX(Programs!$C$6:$C$205,MATCH(B48,Programs!$A$6:$A$205,0)),""))</f>
        <v/>
      </c>
      <c r="D48" s="97" t="str">
        <f t="array" ref="D48">IF(B48="","",IFERROR(INDEX(Programs!$B$6:$B$205,MATCH(B48,Programs!$A$6:$A$205,0)),""))</f>
        <v/>
      </c>
      <c r="E48" s="99"/>
      <c r="F48" s="99"/>
      <c r="G48" s="78"/>
      <c r="H48" s="74" t="str">
        <f>IF(A48="","",IF(COUNTIFS(Deadlines!$D$6:$D$205,A48,Deadlines!$H$6:$H$205,"&lt;&gt;Completed",Deadlines!$G$6:$G$205,"&lt;&gt;")=0,"",MINIFS(Deadlines!$G$6:$G$205,Deadlines!$D$6:$D$205,A48,Deadlines!$H$6:$H$205,"&lt;&gt;Completed")))</f>
        <v/>
      </c>
      <c r="I48" s="66" t="str">
        <f t="shared" si="1"/>
        <v/>
      </c>
      <c r="J48" s="66" t="str">
        <f>IF(A48="","",COUNTIFS(Tasks!$D$6:$D$205,A48,Tasks!$G$6:$G$205,"&lt;&gt;Done",Tasks!$H$6:$H$205,TRUE)+COUNTIFS(Documents!$K$6:$K$205,A48,Documents!$G$6:$G$205,"&lt;&gt;Ready")+COUNTIFS(Essays!$C$6:$C$205,A48,Essays!$G$6:$G$205,"&lt;&gt;Final")+COUNTIFS(Recommenders!$G$6:$G$205,A48,Recommenders!$H$6:$H$205,"&lt;&gt;Submitted"))</f>
        <v/>
      </c>
      <c r="K48" s="104"/>
      <c r="L48" s="99"/>
      <c r="M48" s="99"/>
      <c r="N48" s="65"/>
      <c r="O48" s="99"/>
      <c r="P48" s="65"/>
      <c r="Q48" s="78"/>
      <c r="R48" s="78"/>
      <c r="S48" s="78"/>
    </row>
    <row r="49" ht="24.0" customHeight="1">
      <c r="A49" s="78"/>
      <c r="B49" s="78"/>
      <c r="C49" s="97" t="str">
        <f t="array" ref="C49">IF(B49="","",IFERROR(INDEX(Programs!$C$6:$C$205,MATCH(B49,Programs!$A$6:$A$205,0)),""))</f>
        <v/>
      </c>
      <c r="D49" s="97" t="str">
        <f t="array" ref="D49">IF(B49="","",IFERROR(INDEX(Programs!$B$6:$B$205,MATCH(B49,Programs!$A$6:$A$205,0)),""))</f>
        <v/>
      </c>
      <c r="E49" s="99"/>
      <c r="F49" s="99"/>
      <c r="G49" s="78"/>
      <c r="H49" s="74" t="str">
        <f>IF(A49="","",IF(COUNTIFS(Deadlines!$D$6:$D$205,A49,Deadlines!$H$6:$H$205,"&lt;&gt;Completed",Deadlines!$G$6:$G$205,"&lt;&gt;")=0,"",MINIFS(Deadlines!$G$6:$G$205,Deadlines!$D$6:$D$205,A49,Deadlines!$H$6:$H$205,"&lt;&gt;Completed")))</f>
        <v/>
      </c>
      <c r="I49" s="66" t="str">
        <f t="shared" si="1"/>
        <v/>
      </c>
      <c r="J49" s="66" t="str">
        <f>IF(A49="","",COUNTIFS(Tasks!$D$6:$D$205,A49,Tasks!$G$6:$G$205,"&lt;&gt;Done",Tasks!$H$6:$H$205,TRUE)+COUNTIFS(Documents!$K$6:$K$205,A49,Documents!$G$6:$G$205,"&lt;&gt;Ready")+COUNTIFS(Essays!$C$6:$C$205,A49,Essays!$G$6:$G$205,"&lt;&gt;Final")+COUNTIFS(Recommenders!$G$6:$G$205,A49,Recommenders!$H$6:$H$205,"&lt;&gt;Submitted"))</f>
        <v/>
      </c>
      <c r="K49" s="104"/>
      <c r="L49" s="99"/>
      <c r="M49" s="99"/>
      <c r="N49" s="65"/>
      <c r="O49" s="99"/>
      <c r="P49" s="65"/>
      <c r="Q49" s="78"/>
      <c r="R49" s="78"/>
      <c r="S49" s="78"/>
    </row>
    <row r="50" ht="24.0" customHeight="1">
      <c r="A50" s="78"/>
      <c r="B50" s="78"/>
      <c r="C50" s="97" t="str">
        <f t="array" ref="C50">IF(B50="","",IFERROR(INDEX(Programs!$C$6:$C$205,MATCH(B50,Programs!$A$6:$A$205,0)),""))</f>
        <v/>
      </c>
      <c r="D50" s="97" t="str">
        <f t="array" ref="D50">IF(B50="","",IFERROR(INDEX(Programs!$B$6:$B$205,MATCH(B50,Programs!$A$6:$A$205,0)),""))</f>
        <v/>
      </c>
      <c r="E50" s="99"/>
      <c r="F50" s="99"/>
      <c r="G50" s="78"/>
      <c r="H50" s="74" t="str">
        <f>IF(A50="","",IF(COUNTIFS(Deadlines!$D$6:$D$205,A50,Deadlines!$H$6:$H$205,"&lt;&gt;Completed",Deadlines!$G$6:$G$205,"&lt;&gt;")=0,"",MINIFS(Deadlines!$G$6:$G$205,Deadlines!$D$6:$D$205,A50,Deadlines!$H$6:$H$205,"&lt;&gt;Completed")))</f>
        <v/>
      </c>
      <c r="I50" s="66" t="str">
        <f t="shared" si="1"/>
        <v/>
      </c>
      <c r="J50" s="66" t="str">
        <f>IF(A50="","",COUNTIFS(Tasks!$D$6:$D$205,A50,Tasks!$G$6:$G$205,"&lt;&gt;Done",Tasks!$H$6:$H$205,TRUE)+COUNTIFS(Documents!$K$6:$K$205,A50,Documents!$G$6:$G$205,"&lt;&gt;Ready")+COUNTIFS(Essays!$C$6:$C$205,A50,Essays!$G$6:$G$205,"&lt;&gt;Final")+COUNTIFS(Recommenders!$G$6:$G$205,A50,Recommenders!$H$6:$H$205,"&lt;&gt;Submitted"))</f>
        <v/>
      </c>
      <c r="K50" s="104"/>
      <c r="L50" s="99"/>
      <c r="M50" s="99"/>
      <c r="N50" s="65"/>
      <c r="O50" s="99"/>
      <c r="P50" s="65"/>
      <c r="Q50" s="78"/>
      <c r="R50" s="78"/>
      <c r="S50" s="78"/>
    </row>
    <row r="51" ht="24.0" customHeight="1">
      <c r="A51" s="78"/>
      <c r="B51" s="78"/>
      <c r="C51" s="97" t="str">
        <f t="array" ref="C51">IF(B51="","",IFERROR(INDEX(Programs!$C$6:$C$205,MATCH(B51,Programs!$A$6:$A$205,0)),""))</f>
        <v/>
      </c>
      <c r="D51" s="97" t="str">
        <f t="array" ref="D51">IF(B51="","",IFERROR(INDEX(Programs!$B$6:$B$205,MATCH(B51,Programs!$A$6:$A$205,0)),""))</f>
        <v/>
      </c>
      <c r="E51" s="99"/>
      <c r="F51" s="99"/>
      <c r="G51" s="78"/>
      <c r="H51" s="74" t="str">
        <f>IF(A51="","",IF(COUNTIFS(Deadlines!$D$6:$D$205,A51,Deadlines!$H$6:$H$205,"&lt;&gt;Completed",Deadlines!$G$6:$G$205,"&lt;&gt;")=0,"",MINIFS(Deadlines!$G$6:$G$205,Deadlines!$D$6:$D$205,A51,Deadlines!$H$6:$H$205,"&lt;&gt;Completed")))</f>
        <v/>
      </c>
      <c r="I51" s="66" t="str">
        <f t="shared" si="1"/>
        <v/>
      </c>
      <c r="J51" s="66" t="str">
        <f>IF(A51="","",COUNTIFS(Tasks!$D$6:$D$205,A51,Tasks!$G$6:$G$205,"&lt;&gt;Done",Tasks!$H$6:$H$205,TRUE)+COUNTIFS(Documents!$K$6:$K$205,A51,Documents!$G$6:$G$205,"&lt;&gt;Ready")+COUNTIFS(Essays!$C$6:$C$205,A51,Essays!$G$6:$G$205,"&lt;&gt;Final")+COUNTIFS(Recommenders!$G$6:$G$205,A51,Recommenders!$H$6:$H$205,"&lt;&gt;Submitted"))</f>
        <v/>
      </c>
      <c r="K51" s="104"/>
      <c r="L51" s="99"/>
      <c r="M51" s="99"/>
      <c r="N51" s="65"/>
      <c r="O51" s="99"/>
      <c r="P51" s="65"/>
      <c r="Q51" s="78"/>
      <c r="R51" s="78"/>
      <c r="S51" s="78"/>
    </row>
    <row r="52" ht="24.0" customHeight="1">
      <c r="A52" s="78"/>
      <c r="B52" s="78"/>
      <c r="C52" s="97" t="str">
        <f t="array" ref="C52">IF(B52="","",IFERROR(INDEX(Programs!$C$6:$C$205,MATCH(B52,Programs!$A$6:$A$205,0)),""))</f>
        <v/>
      </c>
      <c r="D52" s="97" t="str">
        <f t="array" ref="D52">IF(B52="","",IFERROR(INDEX(Programs!$B$6:$B$205,MATCH(B52,Programs!$A$6:$A$205,0)),""))</f>
        <v/>
      </c>
      <c r="E52" s="99"/>
      <c r="F52" s="99"/>
      <c r="G52" s="78"/>
      <c r="H52" s="74" t="str">
        <f>IF(A52="","",IF(COUNTIFS(Deadlines!$D$6:$D$205,A52,Deadlines!$H$6:$H$205,"&lt;&gt;Completed",Deadlines!$G$6:$G$205,"&lt;&gt;")=0,"",MINIFS(Deadlines!$G$6:$G$205,Deadlines!$D$6:$D$205,A52,Deadlines!$H$6:$H$205,"&lt;&gt;Completed")))</f>
        <v/>
      </c>
      <c r="I52" s="66" t="str">
        <f t="shared" si="1"/>
        <v/>
      </c>
      <c r="J52" s="66" t="str">
        <f>IF(A52="","",COUNTIFS(Tasks!$D$6:$D$205,A52,Tasks!$G$6:$G$205,"&lt;&gt;Done",Tasks!$H$6:$H$205,TRUE)+COUNTIFS(Documents!$K$6:$K$205,A52,Documents!$G$6:$G$205,"&lt;&gt;Ready")+COUNTIFS(Essays!$C$6:$C$205,A52,Essays!$G$6:$G$205,"&lt;&gt;Final")+COUNTIFS(Recommenders!$G$6:$G$205,A52,Recommenders!$H$6:$H$205,"&lt;&gt;Submitted"))</f>
        <v/>
      </c>
      <c r="K52" s="104"/>
      <c r="L52" s="99"/>
      <c r="M52" s="99"/>
      <c r="N52" s="65"/>
      <c r="O52" s="99"/>
      <c r="P52" s="65"/>
      <c r="Q52" s="78"/>
      <c r="R52" s="78"/>
      <c r="S52" s="78"/>
    </row>
    <row r="53" ht="24.0" customHeight="1">
      <c r="A53" s="78"/>
      <c r="B53" s="78"/>
      <c r="C53" s="97" t="str">
        <f t="array" ref="C53">IF(B53="","",IFERROR(INDEX(Programs!$C$6:$C$205,MATCH(B53,Programs!$A$6:$A$205,0)),""))</f>
        <v/>
      </c>
      <c r="D53" s="97" t="str">
        <f t="array" ref="D53">IF(B53="","",IFERROR(INDEX(Programs!$B$6:$B$205,MATCH(B53,Programs!$A$6:$A$205,0)),""))</f>
        <v/>
      </c>
      <c r="E53" s="99"/>
      <c r="F53" s="99"/>
      <c r="G53" s="78"/>
      <c r="H53" s="74" t="str">
        <f>IF(A53="","",IF(COUNTIFS(Deadlines!$D$6:$D$205,A53,Deadlines!$H$6:$H$205,"&lt;&gt;Completed",Deadlines!$G$6:$G$205,"&lt;&gt;")=0,"",MINIFS(Deadlines!$G$6:$G$205,Deadlines!$D$6:$D$205,A53,Deadlines!$H$6:$H$205,"&lt;&gt;Completed")))</f>
        <v/>
      </c>
      <c r="I53" s="66" t="str">
        <f t="shared" si="1"/>
        <v/>
      </c>
      <c r="J53" s="66" t="str">
        <f>IF(A53="","",COUNTIFS(Tasks!$D$6:$D$205,A53,Tasks!$G$6:$G$205,"&lt;&gt;Done",Tasks!$H$6:$H$205,TRUE)+COUNTIFS(Documents!$K$6:$K$205,A53,Documents!$G$6:$G$205,"&lt;&gt;Ready")+COUNTIFS(Essays!$C$6:$C$205,A53,Essays!$G$6:$G$205,"&lt;&gt;Final")+COUNTIFS(Recommenders!$G$6:$G$205,A53,Recommenders!$H$6:$H$205,"&lt;&gt;Submitted"))</f>
        <v/>
      </c>
      <c r="K53" s="104"/>
      <c r="L53" s="99"/>
      <c r="M53" s="99"/>
      <c r="N53" s="65"/>
      <c r="O53" s="99"/>
      <c r="P53" s="65"/>
      <c r="Q53" s="78"/>
      <c r="R53" s="78"/>
      <c r="S53" s="78"/>
    </row>
    <row r="54" ht="24.0" customHeight="1">
      <c r="A54" s="78"/>
      <c r="B54" s="78"/>
      <c r="C54" s="97" t="str">
        <f t="array" ref="C54">IF(B54="","",IFERROR(INDEX(Programs!$C$6:$C$205,MATCH(B54,Programs!$A$6:$A$205,0)),""))</f>
        <v/>
      </c>
      <c r="D54" s="97" t="str">
        <f t="array" ref="D54">IF(B54="","",IFERROR(INDEX(Programs!$B$6:$B$205,MATCH(B54,Programs!$A$6:$A$205,0)),""))</f>
        <v/>
      </c>
      <c r="E54" s="99"/>
      <c r="F54" s="99"/>
      <c r="G54" s="78"/>
      <c r="H54" s="74" t="str">
        <f>IF(A54="","",IF(COUNTIFS(Deadlines!$D$6:$D$205,A54,Deadlines!$H$6:$H$205,"&lt;&gt;Completed",Deadlines!$G$6:$G$205,"&lt;&gt;")=0,"",MINIFS(Deadlines!$G$6:$G$205,Deadlines!$D$6:$D$205,A54,Deadlines!$H$6:$H$205,"&lt;&gt;Completed")))</f>
        <v/>
      </c>
      <c r="I54" s="66" t="str">
        <f t="shared" si="1"/>
        <v/>
      </c>
      <c r="J54" s="66" t="str">
        <f>IF(A54="","",COUNTIFS(Tasks!$D$6:$D$205,A54,Tasks!$G$6:$G$205,"&lt;&gt;Done",Tasks!$H$6:$H$205,TRUE)+COUNTIFS(Documents!$K$6:$K$205,A54,Documents!$G$6:$G$205,"&lt;&gt;Ready")+COUNTIFS(Essays!$C$6:$C$205,A54,Essays!$G$6:$G$205,"&lt;&gt;Final")+COUNTIFS(Recommenders!$G$6:$G$205,A54,Recommenders!$H$6:$H$205,"&lt;&gt;Submitted"))</f>
        <v/>
      </c>
      <c r="K54" s="104"/>
      <c r="L54" s="99"/>
      <c r="M54" s="99"/>
      <c r="N54" s="65"/>
      <c r="O54" s="99"/>
      <c r="P54" s="65"/>
      <c r="Q54" s="78"/>
      <c r="R54" s="78"/>
      <c r="S54" s="78"/>
    </row>
    <row r="55" ht="24.0" customHeight="1">
      <c r="A55" s="78"/>
      <c r="B55" s="78"/>
      <c r="C55" s="97" t="str">
        <f t="array" ref="C55">IF(B55="","",IFERROR(INDEX(Programs!$C$6:$C$205,MATCH(B55,Programs!$A$6:$A$205,0)),""))</f>
        <v/>
      </c>
      <c r="D55" s="97" t="str">
        <f t="array" ref="D55">IF(B55="","",IFERROR(INDEX(Programs!$B$6:$B$205,MATCH(B55,Programs!$A$6:$A$205,0)),""))</f>
        <v/>
      </c>
      <c r="E55" s="99"/>
      <c r="F55" s="99"/>
      <c r="G55" s="78"/>
      <c r="H55" s="74" t="str">
        <f>IF(A55="","",IF(COUNTIFS(Deadlines!$D$6:$D$205,A55,Deadlines!$H$6:$H$205,"&lt;&gt;Completed",Deadlines!$G$6:$G$205,"&lt;&gt;")=0,"",MINIFS(Deadlines!$G$6:$G$205,Deadlines!$D$6:$D$205,A55,Deadlines!$H$6:$H$205,"&lt;&gt;Completed")))</f>
        <v/>
      </c>
      <c r="I55" s="66" t="str">
        <f t="shared" si="1"/>
        <v/>
      </c>
      <c r="J55" s="66" t="str">
        <f>IF(A55="","",COUNTIFS(Tasks!$D$6:$D$205,A55,Tasks!$G$6:$G$205,"&lt;&gt;Done",Tasks!$H$6:$H$205,TRUE)+COUNTIFS(Documents!$K$6:$K$205,A55,Documents!$G$6:$G$205,"&lt;&gt;Ready")+COUNTIFS(Essays!$C$6:$C$205,A55,Essays!$G$6:$G$205,"&lt;&gt;Final")+COUNTIFS(Recommenders!$G$6:$G$205,A55,Recommenders!$H$6:$H$205,"&lt;&gt;Submitted"))</f>
        <v/>
      </c>
      <c r="K55" s="104"/>
      <c r="L55" s="99"/>
      <c r="M55" s="99"/>
      <c r="N55" s="65"/>
      <c r="O55" s="99"/>
      <c r="P55" s="65"/>
      <c r="Q55" s="78"/>
      <c r="R55" s="78"/>
      <c r="S55" s="78"/>
    </row>
    <row r="56" ht="24.0" customHeight="1">
      <c r="A56" s="78"/>
      <c r="B56" s="78"/>
      <c r="C56" s="97" t="str">
        <f t="array" ref="C56">IF(B56="","",IFERROR(INDEX(Programs!$C$6:$C$205,MATCH(B56,Programs!$A$6:$A$205,0)),""))</f>
        <v/>
      </c>
      <c r="D56" s="97" t="str">
        <f t="array" ref="D56">IF(B56="","",IFERROR(INDEX(Programs!$B$6:$B$205,MATCH(B56,Programs!$A$6:$A$205,0)),""))</f>
        <v/>
      </c>
      <c r="E56" s="99"/>
      <c r="F56" s="99"/>
      <c r="G56" s="78"/>
      <c r="H56" s="74" t="str">
        <f>IF(A56="","",IF(COUNTIFS(Deadlines!$D$6:$D$205,A56,Deadlines!$H$6:$H$205,"&lt;&gt;Completed",Deadlines!$G$6:$G$205,"&lt;&gt;")=0,"",MINIFS(Deadlines!$G$6:$G$205,Deadlines!$D$6:$D$205,A56,Deadlines!$H$6:$H$205,"&lt;&gt;Completed")))</f>
        <v/>
      </c>
      <c r="I56" s="66" t="str">
        <f t="shared" si="1"/>
        <v/>
      </c>
      <c r="J56" s="66" t="str">
        <f>IF(A56="","",COUNTIFS(Tasks!$D$6:$D$205,A56,Tasks!$G$6:$G$205,"&lt;&gt;Done",Tasks!$H$6:$H$205,TRUE)+COUNTIFS(Documents!$K$6:$K$205,A56,Documents!$G$6:$G$205,"&lt;&gt;Ready")+COUNTIFS(Essays!$C$6:$C$205,A56,Essays!$G$6:$G$205,"&lt;&gt;Final")+COUNTIFS(Recommenders!$G$6:$G$205,A56,Recommenders!$H$6:$H$205,"&lt;&gt;Submitted"))</f>
        <v/>
      </c>
      <c r="K56" s="104"/>
      <c r="L56" s="99"/>
      <c r="M56" s="99"/>
      <c r="N56" s="65"/>
      <c r="O56" s="99"/>
      <c r="P56" s="65"/>
      <c r="Q56" s="78"/>
      <c r="R56" s="78"/>
      <c r="S56" s="78"/>
    </row>
    <row r="57" ht="24.0" customHeight="1">
      <c r="A57" s="78"/>
      <c r="B57" s="78"/>
      <c r="C57" s="97" t="str">
        <f t="array" ref="C57">IF(B57="","",IFERROR(INDEX(Programs!$C$6:$C$205,MATCH(B57,Programs!$A$6:$A$205,0)),""))</f>
        <v/>
      </c>
      <c r="D57" s="97" t="str">
        <f t="array" ref="D57">IF(B57="","",IFERROR(INDEX(Programs!$B$6:$B$205,MATCH(B57,Programs!$A$6:$A$205,0)),""))</f>
        <v/>
      </c>
      <c r="E57" s="99"/>
      <c r="F57" s="99"/>
      <c r="G57" s="78"/>
      <c r="H57" s="74" t="str">
        <f>IF(A57="","",IF(COUNTIFS(Deadlines!$D$6:$D$205,A57,Deadlines!$H$6:$H$205,"&lt;&gt;Completed",Deadlines!$G$6:$G$205,"&lt;&gt;")=0,"",MINIFS(Deadlines!$G$6:$G$205,Deadlines!$D$6:$D$205,A57,Deadlines!$H$6:$H$205,"&lt;&gt;Completed")))</f>
        <v/>
      </c>
      <c r="I57" s="66" t="str">
        <f t="shared" si="1"/>
        <v/>
      </c>
      <c r="J57" s="66" t="str">
        <f>IF(A57="","",COUNTIFS(Tasks!$D$6:$D$205,A57,Tasks!$G$6:$G$205,"&lt;&gt;Done",Tasks!$H$6:$H$205,TRUE)+COUNTIFS(Documents!$K$6:$K$205,A57,Documents!$G$6:$G$205,"&lt;&gt;Ready")+COUNTIFS(Essays!$C$6:$C$205,A57,Essays!$G$6:$G$205,"&lt;&gt;Final")+COUNTIFS(Recommenders!$G$6:$G$205,A57,Recommenders!$H$6:$H$205,"&lt;&gt;Submitted"))</f>
        <v/>
      </c>
      <c r="K57" s="104"/>
      <c r="L57" s="99"/>
      <c r="M57" s="99"/>
      <c r="N57" s="65"/>
      <c r="O57" s="99"/>
      <c r="P57" s="65"/>
      <c r="Q57" s="78"/>
      <c r="R57" s="78"/>
      <c r="S57" s="78"/>
    </row>
    <row r="58" ht="24.0" customHeight="1">
      <c r="A58" s="78"/>
      <c r="B58" s="78"/>
      <c r="C58" s="97" t="str">
        <f t="array" ref="C58">IF(B58="","",IFERROR(INDEX(Programs!$C$6:$C$205,MATCH(B58,Programs!$A$6:$A$205,0)),""))</f>
        <v/>
      </c>
      <c r="D58" s="97" t="str">
        <f t="array" ref="D58">IF(B58="","",IFERROR(INDEX(Programs!$B$6:$B$205,MATCH(B58,Programs!$A$6:$A$205,0)),""))</f>
        <v/>
      </c>
      <c r="E58" s="99"/>
      <c r="F58" s="99"/>
      <c r="G58" s="78"/>
      <c r="H58" s="74" t="str">
        <f>IF(A58="","",IF(COUNTIFS(Deadlines!$D$6:$D$205,A58,Deadlines!$H$6:$H$205,"&lt;&gt;Completed",Deadlines!$G$6:$G$205,"&lt;&gt;")=0,"",MINIFS(Deadlines!$G$6:$G$205,Deadlines!$D$6:$D$205,A58,Deadlines!$H$6:$H$205,"&lt;&gt;Completed")))</f>
        <v/>
      </c>
      <c r="I58" s="66" t="str">
        <f t="shared" si="1"/>
        <v/>
      </c>
      <c r="J58" s="66" t="str">
        <f>IF(A58="","",COUNTIFS(Tasks!$D$6:$D$205,A58,Tasks!$G$6:$G$205,"&lt;&gt;Done",Tasks!$H$6:$H$205,TRUE)+COUNTIFS(Documents!$K$6:$K$205,A58,Documents!$G$6:$G$205,"&lt;&gt;Ready")+COUNTIFS(Essays!$C$6:$C$205,A58,Essays!$G$6:$G$205,"&lt;&gt;Final")+COUNTIFS(Recommenders!$G$6:$G$205,A58,Recommenders!$H$6:$H$205,"&lt;&gt;Submitted"))</f>
        <v/>
      </c>
      <c r="K58" s="104"/>
      <c r="L58" s="99"/>
      <c r="M58" s="99"/>
      <c r="N58" s="65"/>
      <c r="O58" s="99"/>
      <c r="P58" s="65"/>
      <c r="Q58" s="78"/>
      <c r="R58" s="78"/>
      <c r="S58" s="78"/>
    </row>
    <row r="59" ht="24.0" customHeight="1">
      <c r="A59" s="78"/>
      <c r="B59" s="78"/>
      <c r="C59" s="97" t="str">
        <f t="array" ref="C59">IF(B59="","",IFERROR(INDEX(Programs!$C$6:$C$205,MATCH(B59,Programs!$A$6:$A$205,0)),""))</f>
        <v/>
      </c>
      <c r="D59" s="97" t="str">
        <f t="array" ref="D59">IF(B59="","",IFERROR(INDEX(Programs!$B$6:$B$205,MATCH(B59,Programs!$A$6:$A$205,0)),""))</f>
        <v/>
      </c>
      <c r="E59" s="99"/>
      <c r="F59" s="99"/>
      <c r="G59" s="78"/>
      <c r="H59" s="74" t="str">
        <f>IF(A59="","",IF(COUNTIFS(Deadlines!$D$6:$D$205,A59,Deadlines!$H$6:$H$205,"&lt;&gt;Completed",Deadlines!$G$6:$G$205,"&lt;&gt;")=0,"",MINIFS(Deadlines!$G$6:$G$205,Deadlines!$D$6:$D$205,A59,Deadlines!$H$6:$H$205,"&lt;&gt;Completed")))</f>
        <v/>
      </c>
      <c r="I59" s="66" t="str">
        <f t="shared" si="1"/>
        <v/>
      </c>
      <c r="J59" s="66" t="str">
        <f>IF(A59="","",COUNTIFS(Tasks!$D$6:$D$205,A59,Tasks!$G$6:$G$205,"&lt;&gt;Done",Tasks!$H$6:$H$205,TRUE)+COUNTIFS(Documents!$K$6:$K$205,A59,Documents!$G$6:$G$205,"&lt;&gt;Ready")+COUNTIFS(Essays!$C$6:$C$205,A59,Essays!$G$6:$G$205,"&lt;&gt;Final")+COUNTIFS(Recommenders!$G$6:$G$205,A59,Recommenders!$H$6:$H$205,"&lt;&gt;Submitted"))</f>
        <v/>
      </c>
      <c r="K59" s="104"/>
      <c r="L59" s="99"/>
      <c r="M59" s="99"/>
      <c r="N59" s="65"/>
      <c r="O59" s="99"/>
      <c r="P59" s="65"/>
      <c r="Q59" s="78"/>
      <c r="R59" s="78"/>
      <c r="S59" s="78"/>
    </row>
    <row r="60" ht="24.0" customHeight="1">
      <c r="A60" s="78"/>
      <c r="B60" s="78"/>
      <c r="C60" s="97" t="str">
        <f t="array" ref="C60">IF(B60="","",IFERROR(INDEX(Programs!$C$6:$C$205,MATCH(B60,Programs!$A$6:$A$205,0)),""))</f>
        <v/>
      </c>
      <c r="D60" s="97" t="str">
        <f t="array" ref="D60">IF(B60="","",IFERROR(INDEX(Programs!$B$6:$B$205,MATCH(B60,Programs!$A$6:$A$205,0)),""))</f>
        <v/>
      </c>
      <c r="E60" s="99"/>
      <c r="F60" s="99"/>
      <c r="G60" s="78"/>
      <c r="H60" s="74" t="str">
        <f>IF(A60="","",IF(COUNTIFS(Deadlines!$D$6:$D$205,A60,Deadlines!$H$6:$H$205,"&lt;&gt;Completed",Deadlines!$G$6:$G$205,"&lt;&gt;")=0,"",MINIFS(Deadlines!$G$6:$G$205,Deadlines!$D$6:$D$205,A60,Deadlines!$H$6:$H$205,"&lt;&gt;Completed")))</f>
        <v/>
      </c>
      <c r="I60" s="66" t="str">
        <f t="shared" si="1"/>
        <v/>
      </c>
      <c r="J60" s="66" t="str">
        <f>IF(A60="","",COUNTIFS(Tasks!$D$6:$D$205,A60,Tasks!$G$6:$G$205,"&lt;&gt;Done",Tasks!$H$6:$H$205,TRUE)+COUNTIFS(Documents!$K$6:$K$205,A60,Documents!$G$6:$G$205,"&lt;&gt;Ready")+COUNTIFS(Essays!$C$6:$C$205,A60,Essays!$G$6:$G$205,"&lt;&gt;Final")+COUNTIFS(Recommenders!$G$6:$G$205,A60,Recommenders!$H$6:$H$205,"&lt;&gt;Submitted"))</f>
        <v/>
      </c>
      <c r="K60" s="104"/>
      <c r="L60" s="99"/>
      <c r="M60" s="99"/>
      <c r="N60" s="65"/>
      <c r="O60" s="99"/>
      <c r="P60" s="65"/>
      <c r="Q60" s="78"/>
      <c r="R60" s="78"/>
      <c r="S60" s="78"/>
    </row>
    <row r="61" ht="24.0" customHeight="1">
      <c r="A61" s="78"/>
      <c r="B61" s="78"/>
      <c r="C61" s="97" t="str">
        <f t="array" ref="C61">IF(B61="","",IFERROR(INDEX(Programs!$C$6:$C$205,MATCH(B61,Programs!$A$6:$A$205,0)),""))</f>
        <v/>
      </c>
      <c r="D61" s="97" t="str">
        <f t="array" ref="D61">IF(B61="","",IFERROR(INDEX(Programs!$B$6:$B$205,MATCH(B61,Programs!$A$6:$A$205,0)),""))</f>
        <v/>
      </c>
      <c r="E61" s="99"/>
      <c r="F61" s="99"/>
      <c r="G61" s="78"/>
      <c r="H61" s="74" t="str">
        <f>IF(A61="","",IF(COUNTIFS(Deadlines!$D$6:$D$205,A61,Deadlines!$H$6:$H$205,"&lt;&gt;Completed",Deadlines!$G$6:$G$205,"&lt;&gt;")=0,"",MINIFS(Deadlines!$G$6:$G$205,Deadlines!$D$6:$D$205,A61,Deadlines!$H$6:$H$205,"&lt;&gt;Completed")))</f>
        <v/>
      </c>
      <c r="I61" s="66" t="str">
        <f t="shared" si="1"/>
        <v/>
      </c>
      <c r="J61" s="66" t="str">
        <f>IF(A61="","",COUNTIFS(Tasks!$D$6:$D$205,A61,Tasks!$G$6:$G$205,"&lt;&gt;Done",Tasks!$H$6:$H$205,TRUE)+COUNTIFS(Documents!$K$6:$K$205,A61,Documents!$G$6:$G$205,"&lt;&gt;Ready")+COUNTIFS(Essays!$C$6:$C$205,A61,Essays!$G$6:$G$205,"&lt;&gt;Final")+COUNTIFS(Recommenders!$G$6:$G$205,A61,Recommenders!$H$6:$H$205,"&lt;&gt;Submitted"))</f>
        <v/>
      </c>
      <c r="K61" s="104"/>
      <c r="L61" s="99"/>
      <c r="M61" s="99"/>
      <c r="N61" s="65"/>
      <c r="O61" s="99"/>
      <c r="P61" s="65"/>
      <c r="Q61" s="78"/>
      <c r="R61" s="78"/>
      <c r="S61" s="78"/>
    </row>
    <row r="62" ht="24.0" customHeight="1">
      <c r="A62" s="78"/>
      <c r="B62" s="78"/>
      <c r="C62" s="97" t="str">
        <f t="array" ref="C62">IF(B62="","",IFERROR(INDEX(Programs!$C$6:$C$205,MATCH(B62,Programs!$A$6:$A$205,0)),""))</f>
        <v/>
      </c>
      <c r="D62" s="97" t="str">
        <f t="array" ref="D62">IF(B62="","",IFERROR(INDEX(Programs!$B$6:$B$205,MATCH(B62,Programs!$A$6:$A$205,0)),""))</f>
        <v/>
      </c>
      <c r="E62" s="99"/>
      <c r="F62" s="99"/>
      <c r="G62" s="78"/>
      <c r="H62" s="74" t="str">
        <f>IF(A62="","",IF(COUNTIFS(Deadlines!$D$6:$D$205,A62,Deadlines!$H$6:$H$205,"&lt;&gt;Completed",Deadlines!$G$6:$G$205,"&lt;&gt;")=0,"",MINIFS(Deadlines!$G$6:$G$205,Deadlines!$D$6:$D$205,A62,Deadlines!$H$6:$H$205,"&lt;&gt;Completed")))</f>
        <v/>
      </c>
      <c r="I62" s="66" t="str">
        <f t="shared" si="1"/>
        <v/>
      </c>
      <c r="J62" s="66" t="str">
        <f>IF(A62="","",COUNTIFS(Tasks!$D$6:$D$205,A62,Tasks!$G$6:$G$205,"&lt;&gt;Done",Tasks!$H$6:$H$205,TRUE)+COUNTIFS(Documents!$K$6:$K$205,A62,Documents!$G$6:$G$205,"&lt;&gt;Ready")+COUNTIFS(Essays!$C$6:$C$205,A62,Essays!$G$6:$G$205,"&lt;&gt;Final")+COUNTIFS(Recommenders!$G$6:$G$205,A62,Recommenders!$H$6:$H$205,"&lt;&gt;Submitted"))</f>
        <v/>
      </c>
      <c r="K62" s="104"/>
      <c r="L62" s="99"/>
      <c r="M62" s="99"/>
      <c r="N62" s="65"/>
      <c r="O62" s="99"/>
      <c r="P62" s="65"/>
      <c r="Q62" s="78"/>
      <c r="R62" s="78"/>
      <c r="S62" s="78"/>
    </row>
    <row r="63" ht="24.0" customHeight="1">
      <c r="A63" s="78"/>
      <c r="B63" s="78"/>
      <c r="C63" s="97" t="str">
        <f t="array" ref="C63">IF(B63="","",IFERROR(INDEX(Programs!$C$6:$C$205,MATCH(B63,Programs!$A$6:$A$205,0)),""))</f>
        <v/>
      </c>
      <c r="D63" s="97" t="str">
        <f t="array" ref="D63">IF(B63="","",IFERROR(INDEX(Programs!$B$6:$B$205,MATCH(B63,Programs!$A$6:$A$205,0)),""))</f>
        <v/>
      </c>
      <c r="E63" s="99"/>
      <c r="F63" s="99"/>
      <c r="G63" s="78"/>
      <c r="H63" s="74" t="str">
        <f>IF(A63="","",IF(COUNTIFS(Deadlines!$D$6:$D$205,A63,Deadlines!$H$6:$H$205,"&lt;&gt;Completed",Deadlines!$G$6:$G$205,"&lt;&gt;")=0,"",MINIFS(Deadlines!$G$6:$G$205,Deadlines!$D$6:$D$205,A63,Deadlines!$H$6:$H$205,"&lt;&gt;Completed")))</f>
        <v/>
      </c>
      <c r="I63" s="66" t="str">
        <f t="shared" si="1"/>
        <v/>
      </c>
      <c r="J63" s="66" t="str">
        <f>IF(A63="","",COUNTIFS(Tasks!$D$6:$D$205,A63,Tasks!$G$6:$G$205,"&lt;&gt;Done",Tasks!$H$6:$H$205,TRUE)+COUNTIFS(Documents!$K$6:$K$205,A63,Documents!$G$6:$G$205,"&lt;&gt;Ready")+COUNTIFS(Essays!$C$6:$C$205,A63,Essays!$G$6:$G$205,"&lt;&gt;Final")+COUNTIFS(Recommenders!$G$6:$G$205,A63,Recommenders!$H$6:$H$205,"&lt;&gt;Submitted"))</f>
        <v/>
      </c>
      <c r="K63" s="104"/>
      <c r="L63" s="99"/>
      <c r="M63" s="99"/>
      <c r="N63" s="65"/>
      <c r="O63" s="99"/>
      <c r="P63" s="65"/>
      <c r="Q63" s="78"/>
      <c r="R63" s="78"/>
      <c r="S63" s="78"/>
    </row>
    <row r="64" ht="24.0" customHeight="1">
      <c r="A64" s="78"/>
      <c r="B64" s="78"/>
      <c r="C64" s="97" t="str">
        <f t="array" ref="C64">IF(B64="","",IFERROR(INDEX(Programs!$C$6:$C$205,MATCH(B64,Programs!$A$6:$A$205,0)),""))</f>
        <v/>
      </c>
      <c r="D64" s="97" t="str">
        <f t="array" ref="D64">IF(B64="","",IFERROR(INDEX(Programs!$B$6:$B$205,MATCH(B64,Programs!$A$6:$A$205,0)),""))</f>
        <v/>
      </c>
      <c r="E64" s="99"/>
      <c r="F64" s="99"/>
      <c r="G64" s="78"/>
      <c r="H64" s="74" t="str">
        <f>IF(A64="","",IF(COUNTIFS(Deadlines!$D$6:$D$205,A64,Deadlines!$H$6:$H$205,"&lt;&gt;Completed",Deadlines!$G$6:$G$205,"&lt;&gt;")=0,"",MINIFS(Deadlines!$G$6:$G$205,Deadlines!$D$6:$D$205,A64,Deadlines!$H$6:$H$205,"&lt;&gt;Completed")))</f>
        <v/>
      </c>
      <c r="I64" s="66" t="str">
        <f t="shared" si="1"/>
        <v/>
      </c>
      <c r="J64" s="66" t="str">
        <f>IF(A64="","",COUNTIFS(Tasks!$D$6:$D$205,A64,Tasks!$G$6:$G$205,"&lt;&gt;Done",Tasks!$H$6:$H$205,TRUE)+COUNTIFS(Documents!$K$6:$K$205,A64,Documents!$G$6:$G$205,"&lt;&gt;Ready")+COUNTIFS(Essays!$C$6:$C$205,A64,Essays!$G$6:$G$205,"&lt;&gt;Final")+COUNTIFS(Recommenders!$G$6:$G$205,A64,Recommenders!$H$6:$H$205,"&lt;&gt;Submitted"))</f>
        <v/>
      </c>
      <c r="K64" s="104"/>
      <c r="L64" s="99"/>
      <c r="M64" s="99"/>
      <c r="N64" s="65"/>
      <c r="O64" s="99"/>
      <c r="P64" s="65"/>
      <c r="Q64" s="78"/>
      <c r="R64" s="78"/>
      <c r="S64" s="78"/>
    </row>
    <row r="65" ht="24.0" customHeight="1">
      <c r="A65" s="78"/>
      <c r="B65" s="78"/>
      <c r="C65" s="97" t="str">
        <f t="array" ref="C65">IF(B65="","",IFERROR(INDEX(Programs!$C$6:$C$205,MATCH(B65,Programs!$A$6:$A$205,0)),""))</f>
        <v/>
      </c>
      <c r="D65" s="97" t="str">
        <f t="array" ref="D65">IF(B65="","",IFERROR(INDEX(Programs!$B$6:$B$205,MATCH(B65,Programs!$A$6:$A$205,0)),""))</f>
        <v/>
      </c>
      <c r="E65" s="99"/>
      <c r="F65" s="99"/>
      <c r="G65" s="78"/>
      <c r="H65" s="74" t="str">
        <f>IF(A65="","",IF(COUNTIFS(Deadlines!$D$6:$D$205,A65,Deadlines!$H$6:$H$205,"&lt;&gt;Completed",Deadlines!$G$6:$G$205,"&lt;&gt;")=0,"",MINIFS(Deadlines!$G$6:$G$205,Deadlines!$D$6:$D$205,A65,Deadlines!$H$6:$H$205,"&lt;&gt;Completed")))</f>
        <v/>
      </c>
      <c r="I65" s="66" t="str">
        <f t="shared" si="1"/>
        <v/>
      </c>
      <c r="J65" s="66" t="str">
        <f>IF(A65="","",COUNTIFS(Tasks!$D$6:$D$205,A65,Tasks!$G$6:$G$205,"&lt;&gt;Done",Tasks!$H$6:$H$205,TRUE)+COUNTIFS(Documents!$K$6:$K$205,A65,Documents!$G$6:$G$205,"&lt;&gt;Ready")+COUNTIFS(Essays!$C$6:$C$205,A65,Essays!$G$6:$G$205,"&lt;&gt;Final")+COUNTIFS(Recommenders!$G$6:$G$205,A65,Recommenders!$H$6:$H$205,"&lt;&gt;Submitted"))</f>
        <v/>
      </c>
      <c r="K65" s="104"/>
      <c r="L65" s="99"/>
      <c r="M65" s="99"/>
      <c r="N65" s="65"/>
      <c r="O65" s="99"/>
      <c r="P65" s="65"/>
      <c r="Q65" s="78"/>
      <c r="R65" s="78"/>
      <c r="S65" s="78"/>
    </row>
    <row r="66" ht="24.0" customHeight="1">
      <c r="A66" s="78"/>
      <c r="B66" s="78"/>
      <c r="C66" s="97" t="str">
        <f t="array" ref="C66">IF(B66="","",IFERROR(INDEX(Programs!$C$6:$C$205,MATCH(B66,Programs!$A$6:$A$205,0)),""))</f>
        <v/>
      </c>
      <c r="D66" s="97" t="str">
        <f t="array" ref="D66">IF(B66="","",IFERROR(INDEX(Programs!$B$6:$B$205,MATCH(B66,Programs!$A$6:$A$205,0)),""))</f>
        <v/>
      </c>
      <c r="E66" s="99"/>
      <c r="F66" s="99"/>
      <c r="G66" s="78"/>
      <c r="H66" s="74" t="str">
        <f>IF(A66="","",IF(COUNTIFS(Deadlines!$D$6:$D$205,A66,Deadlines!$H$6:$H$205,"&lt;&gt;Completed",Deadlines!$G$6:$G$205,"&lt;&gt;")=0,"",MINIFS(Deadlines!$G$6:$G$205,Deadlines!$D$6:$D$205,A66,Deadlines!$H$6:$H$205,"&lt;&gt;Completed")))</f>
        <v/>
      </c>
      <c r="I66" s="66" t="str">
        <f t="shared" si="1"/>
        <v/>
      </c>
      <c r="J66" s="66" t="str">
        <f>IF(A66="","",COUNTIFS(Tasks!$D$6:$D$205,A66,Tasks!$G$6:$G$205,"&lt;&gt;Done",Tasks!$H$6:$H$205,TRUE)+COUNTIFS(Documents!$K$6:$K$205,A66,Documents!$G$6:$G$205,"&lt;&gt;Ready")+COUNTIFS(Essays!$C$6:$C$205,A66,Essays!$G$6:$G$205,"&lt;&gt;Final")+COUNTIFS(Recommenders!$G$6:$G$205,A66,Recommenders!$H$6:$H$205,"&lt;&gt;Submitted"))</f>
        <v/>
      </c>
      <c r="K66" s="104"/>
      <c r="L66" s="99"/>
      <c r="M66" s="99"/>
      <c r="N66" s="65"/>
      <c r="O66" s="99"/>
      <c r="P66" s="65"/>
      <c r="Q66" s="78"/>
      <c r="R66" s="78"/>
      <c r="S66" s="78"/>
    </row>
    <row r="67" ht="24.0" customHeight="1">
      <c r="A67" s="78"/>
      <c r="B67" s="78"/>
      <c r="C67" s="97" t="str">
        <f t="array" ref="C67">IF(B67="","",IFERROR(INDEX(Programs!$C$6:$C$205,MATCH(B67,Programs!$A$6:$A$205,0)),""))</f>
        <v/>
      </c>
      <c r="D67" s="97" t="str">
        <f t="array" ref="D67">IF(B67="","",IFERROR(INDEX(Programs!$B$6:$B$205,MATCH(B67,Programs!$A$6:$A$205,0)),""))</f>
        <v/>
      </c>
      <c r="E67" s="99"/>
      <c r="F67" s="99"/>
      <c r="G67" s="78"/>
      <c r="H67" s="74" t="str">
        <f>IF(A67="","",IF(COUNTIFS(Deadlines!$D$6:$D$205,A67,Deadlines!$H$6:$H$205,"&lt;&gt;Completed",Deadlines!$G$6:$G$205,"&lt;&gt;")=0,"",MINIFS(Deadlines!$G$6:$G$205,Deadlines!$D$6:$D$205,A67,Deadlines!$H$6:$H$205,"&lt;&gt;Completed")))</f>
        <v/>
      </c>
      <c r="I67" s="66" t="str">
        <f t="shared" si="1"/>
        <v/>
      </c>
      <c r="J67" s="66" t="str">
        <f>IF(A67="","",COUNTIFS(Tasks!$D$6:$D$205,A67,Tasks!$G$6:$G$205,"&lt;&gt;Done",Tasks!$H$6:$H$205,TRUE)+COUNTIFS(Documents!$K$6:$K$205,A67,Documents!$G$6:$G$205,"&lt;&gt;Ready")+COUNTIFS(Essays!$C$6:$C$205,A67,Essays!$G$6:$G$205,"&lt;&gt;Final")+COUNTIFS(Recommenders!$G$6:$G$205,A67,Recommenders!$H$6:$H$205,"&lt;&gt;Submitted"))</f>
        <v/>
      </c>
      <c r="K67" s="104"/>
      <c r="L67" s="99"/>
      <c r="M67" s="99"/>
      <c r="N67" s="65"/>
      <c r="O67" s="99"/>
      <c r="P67" s="65"/>
      <c r="Q67" s="78"/>
      <c r="R67" s="78"/>
      <c r="S67" s="78"/>
    </row>
    <row r="68" ht="24.0" customHeight="1">
      <c r="A68" s="78"/>
      <c r="B68" s="78"/>
      <c r="C68" s="97" t="str">
        <f t="array" ref="C68">IF(B68="","",IFERROR(INDEX(Programs!$C$6:$C$205,MATCH(B68,Programs!$A$6:$A$205,0)),""))</f>
        <v/>
      </c>
      <c r="D68" s="97" t="str">
        <f t="array" ref="D68">IF(B68="","",IFERROR(INDEX(Programs!$B$6:$B$205,MATCH(B68,Programs!$A$6:$A$205,0)),""))</f>
        <v/>
      </c>
      <c r="E68" s="99"/>
      <c r="F68" s="99"/>
      <c r="G68" s="78"/>
      <c r="H68" s="74" t="str">
        <f>IF(A68="","",IF(COUNTIFS(Deadlines!$D$6:$D$205,A68,Deadlines!$H$6:$H$205,"&lt;&gt;Completed",Deadlines!$G$6:$G$205,"&lt;&gt;")=0,"",MINIFS(Deadlines!$G$6:$G$205,Deadlines!$D$6:$D$205,A68,Deadlines!$H$6:$H$205,"&lt;&gt;Completed")))</f>
        <v/>
      </c>
      <c r="I68" s="66" t="str">
        <f t="shared" si="1"/>
        <v/>
      </c>
      <c r="J68" s="66" t="str">
        <f>IF(A68="","",COUNTIFS(Tasks!$D$6:$D$205,A68,Tasks!$G$6:$G$205,"&lt;&gt;Done",Tasks!$H$6:$H$205,TRUE)+COUNTIFS(Documents!$K$6:$K$205,A68,Documents!$G$6:$G$205,"&lt;&gt;Ready")+COUNTIFS(Essays!$C$6:$C$205,A68,Essays!$G$6:$G$205,"&lt;&gt;Final")+COUNTIFS(Recommenders!$G$6:$G$205,A68,Recommenders!$H$6:$H$205,"&lt;&gt;Submitted"))</f>
        <v/>
      </c>
      <c r="K68" s="104"/>
      <c r="L68" s="99"/>
      <c r="M68" s="99"/>
      <c r="N68" s="65"/>
      <c r="O68" s="99"/>
      <c r="P68" s="65"/>
      <c r="Q68" s="78"/>
      <c r="R68" s="78"/>
      <c r="S68" s="78"/>
    </row>
    <row r="69" ht="24.0" customHeight="1">
      <c r="A69" s="78"/>
      <c r="B69" s="78"/>
      <c r="C69" s="97" t="str">
        <f t="array" ref="C69">IF(B69="","",IFERROR(INDEX(Programs!$C$6:$C$205,MATCH(B69,Programs!$A$6:$A$205,0)),""))</f>
        <v/>
      </c>
      <c r="D69" s="97" t="str">
        <f t="array" ref="D69">IF(B69="","",IFERROR(INDEX(Programs!$B$6:$B$205,MATCH(B69,Programs!$A$6:$A$205,0)),""))</f>
        <v/>
      </c>
      <c r="E69" s="99"/>
      <c r="F69" s="99"/>
      <c r="G69" s="78"/>
      <c r="H69" s="74" t="str">
        <f>IF(A69="","",IF(COUNTIFS(Deadlines!$D$6:$D$205,A69,Deadlines!$H$6:$H$205,"&lt;&gt;Completed",Deadlines!$G$6:$G$205,"&lt;&gt;")=0,"",MINIFS(Deadlines!$G$6:$G$205,Deadlines!$D$6:$D$205,A69,Deadlines!$H$6:$H$205,"&lt;&gt;Completed")))</f>
        <v/>
      </c>
      <c r="I69" s="66" t="str">
        <f t="shared" si="1"/>
        <v/>
      </c>
      <c r="J69" s="66" t="str">
        <f>IF(A69="","",COUNTIFS(Tasks!$D$6:$D$205,A69,Tasks!$G$6:$G$205,"&lt;&gt;Done",Tasks!$H$6:$H$205,TRUE)+COUNTIFS(Documents!$K$6:$K$205,A69,Documents!$G$6:$G$205,"&lt;&gt;Ready")+COUNTIFS(Essays!$C$6:$C$205,A69,Essays!$G$6:$G$205,"&lt;&gt;Final")+COUNTIFS(Recommenders!$G$6:$G$205,A69,Recommenders!$H$6:$H$205,"&lt;&gt;Submitted"))</f>
        <v/>
      </c>
      <c r="K69" s="104"/>
      <c r="L69" s="99"/>
      <c r="M69" s="99"/>
      <c r="N69" s="65"/>
      <c r="O69" s="99"/>
      <c r="P69" s="65"/>
      <c r="Q69" s="78"/>
      <c r="R69" s="78"/>
      <c r="S69" s="78"/>
    </row>
    <row r="70" ht="24.0" customHeight="1">
      <c r="A70" s="78"/>
      <c r="B70" s="78"/>
      <c r="C70" s="97" t="str">
        <f t="array" ref="C70">IF(B70="","",IFERROR(INDEX(Programs!$C$6:$C$205,MATCH(B70,Programs!$A$6:$A$205,0)),""))</f>
        <v/>
      </c>
      <c r="D70" s="97" t="str">
        <f t="array" ref="D70">IF(B70="","",IFERROR(INDEX(Programs!$B$6:$B$205,MATCH(B70,Programs!$A$6:$A$205,0)),""))</f>
        <v/>
      </c>
      <c r="E70" s="99"/>
      <c r="F70" s="99"/>
      <c r="G70" s="78"/>
      <c r="H70" s="74" t="str">
        <f>IF(A70="","",IF(COUNTIFS(Deadlines!$D$6:$D$205,A70,Deadlines!$H$6:$H$205,"&lt;&gt;Completed",Deadlines!$G$6:$G$205,"&lt;&gt;")=0,"",MINIFS(Deadlines!$G$6:$G$205,Deadlines!$D$6:$D$205,A70,Deadlines!$H$6:$H$205,"&lt;&gt;Completed")))</f>
        <v/>
      </c>
      <c r="I70" s="66" t="str">
        <f t="shared" si="1"/>
        <v/>
      </c>
      <c r="J70" s="66" t="str">
        <f>IF(A70="","",COUNTIFS(Tasks!$D$6:$D$205,A70,Tasks!$G$6:$G$205,"&lt;&gt;Done",Tasks!$H$6:$H$205,TRUE)+COUNTIFS(Documents!$K$6:$K$205,A70,Documents!$G$6:$G$205,"&lt;&gt;Ready")+COUNTIFS(Essays!$C$6:$C$205,A70,Essays!$G$6:$G$205,"&lt;&gt;Final")+COUNTIFS(Recommenders!$G$6:$G$205,A70,Recommenders!$H$6:$H$205,"&lt;&gt;Submitted"))</f>
        <v/>
      </c>
      <c r="K70" s="104"/>
      <c r="L70" s="99"/>
      <c r="M70" s="99"/>
      <c r="N70" s="65"/>
      <c r="O70" s="99"/>
      <c r="P70" s="65"/>
      <c r="Q70" s="78"/>
      <c r="R70" s="78"/>
      <c r="S70" s="78"/>
    </row>
    <row r="71" ht="24.0" customHeight="1">
      <c r="A71" s="78"/>
      <c r="B71" s="78"/>
      <c r="C71" s="97" t="str">
        <f t="array" ref="C71">IF(B71="","",IFERROR(INDEX(Programs!$C$6:$C$205,MATCH(B71,Programs!$A$6:$A$205,0)),""))</f>
        <v/>
      </c>
      <c r="D71" s="97" t="str">
        <f t="array" ref="D71">IF(B71="","",IFERROR(INDEX(Programs!$B$6:$B$205,MATCH(B71,Programs!$A$6:$A$205,0)),""))</f>
        <v/>
      </c>
      <c r="E71" s="99"/>
      <c r="F71" s="99"/>
      <c r="G71" s="78"/>
      <c r="H71" s="74" t="str">
        <f>IF(A71="","",IF(COUNTIFS(Deadlines!$D$6:$D$205,A71,Deadlines!$H$6:$H$205,"&lt;&gt;Completed",Deadlines!$G$6:$G$205,"&lt;&gt;")=0,"",MINIFS(Deadlines!$G$6:$G$205,Deadlines!$D$6:$D$205,A71,Deadlines!$H$6:$H$205,"&lt;&gt;Completed")))</f>
        <v/>
      </c>
      <c r="I71" s="66" t="str">
        <f t="shared" si="1"/>
        <v/>
      </c>
      <c r="J71" s="66" t="str">
        <f>IF(A71="","",COUNTIFS(Tasks!$D$6:$D$205,A71,Tasks!$G$6:$G$205,"&lt;&gt;Done",Tasks!$H$6:$H$205,TRUE)+COUNTIFS(Documents!$K$6:$K$205,A71,Documents!$G$6:$G$205,"&lt;&gt;Ready")+COUNTIFS(Essays!$C$6:$C$205,A71,Essays!$G$6:$G$205,"&lt;&gt;Final")+COUNTIFS(Recommenders!$G$6:$G$205,A71,Recommenders!$H$6:$H$205,"&lt;&gt;Submitted"))</f>
        <v/>
      </c>
      <c r="K71" s="104"/>
      <c r="L71" s="99"/>
      <c r="M71" s="99"/>
      <c r="N71" s="65"/>
      <c r="O71" s="99"/>
      <c r="P71" s="65"/>
      <c r="Q71" s="78"/>
      <c r="R71" s="78"/>
      <c r="S71" s="78"/>
    </row>
    <row r="72" ht="24.0" customHeight="1">
      <c r="A72" s="78"/>
      <c r="B72" s="78"/>
      <c r="C72" s="97" t="str">
        <f t="array" ref="C72">IF(B72="","",IFERROR(INDEX(Programs!$C$6:$C$205,MATCH(B72,Programs!$A$6:$A$205,0)),""))</f>
        <v/>
      </c>
      <c r="D72" s="97" t="str">
        <f t="array" ref="D72">IF(B72="","",IFERROR(INDEX(Programs!$B$6:$B$205,MATCH(B72,Programs!$A$6:$A$205,0)),""))</f>
        <v/>
      </c>
      <c r="E72" s="99"/>
      <c r="F72" s="99"/>
      <c r="G72" s="78"/>
      <c r="H72" s="74" t="str">
        <f>IF(A72="","",IF(COUNTIFS(Deadlines!$D$6:$D$205,A72,Deadlines!$H$6:$H$205,"&lt;&gt;Completed",Deadlines!$G$6:$G$205,"&lt;&gt;")=0,"",MINIFS(Deadlines!$G$6:$G$205,Deadlines!$D$6:$D$205,A72,Deadlines!$H$6:$H$205,"&lt;&gt;Completed")))</f>
        <v/>
      </c>
      <c r="I72" s="66" t="str">
        <f t="shared" si="1"/>
        <v/>
      </c>
      <c r="J72" s="66" t="str">
        <f>IF(A72="","",COUNTIFS(Tasks!$D$6:$D$205,A72,Tasks!$G$6:$G$205,"&lt;&gt;Done",Tasks!$H$6:$H$205,TRUE)+COUNTIFS(Documents!$K$6:$K$205,A72,Documents!$G$6:$G$205,"&lt;&gt;Ready")+COUNTIFS(Essays!$C$6:$C$205,A72,Essays!$G$6:$G$205,"&lt;&gt;Final")+COUNTIFS(Recommenders!$G$6:$G$205,A72,Recommenders!$H$6:$H$205,"&lt;&gt;Submitted"))</f>
        <v/>
      </c>
      <c r="K72" s="104"/>
      <c r="L72" s="99"/>
      <c r="M72" s="99"/>
      <c r="N72" s="65"/>
      <c r="O72" s="99"/>
      <c r="P72" s="65"/>
      <c r="Q72" s="78"/>
      <c r="R72" s="78"/>
      <c r="S72" s="78"/>
    </row>
    <row r="73" ht="24.0" customHeight="1">
      <c r="A73" s="78"/>
      <c r="B73" s="78"/>
      <c r="C73" s="97" t="str">
        <f t="array" ref="C73">IF(B73="","",IFERROR(INDEX(Programs!$C$6:$C$205,MATCH(B73,Programs!$A$6:$A$205,0)),""))</f>
        <v/>
      </c>
      <c r="D73" s="97" t="str">
        <f t="array" ref="D73">IF(B73="","",IFERROR(INDEX(Programs!$B$6:$B$205,MATCH(B73,Programs!$A$6:$A$205,0)),""))</f>
        <v/>
      </c>
      <c r="E73" s="99"/>
      <c r="F73" s="99"/>
      <c r="G73" s="78"/>
      <c r="H73" s="74" t="str">
        <f>IF(A73="","",IF(COUNTIFS(Deadlines!$D$6:$D$205,A73,Deadlines!$H$6:$H$205,"&lt;&gt;Completed",Deadlines!$G$6:$G$205,"&lt;&gt;")=0,"",MINIFS(Deadlines!$G$6:$G$205,Deadlines!$D$6:$D$205,A73,Deadlines!$H$6:$H$205,"&lt;&gt;Completed")))</f>
        <v/>
      </c>
      <c r="I73" s="66" t="str">
        <f t="shared" si="1"/>
        <v/>
      </c>
      <c r="J73" s="66" t="str">
        <f>IF(A73="","",COUNTIFS(Tasks!$D$6:$D$205,A73,Tasks!$G$6:$G$205,"&lt;&gt;Done",Tasks!$H$6:$H$205,TRUE)+COUNTIFS(Documents!$K$6:$K$205,A73,Documents!$G$6:$G$205,"&lt;&gt;Ready")+COUNTIFS(Essays!$C$6:$C$205,A73,Essays!$G$6:$G$205,"&lt;&gt;Final")+COUNTIFS(Recommenders!$G$6:$G$205,A73,Recommenders!$H$6:$H$205,"&lt;&gt;Submitted"))</f>
        <v/>
      </c>
      <c r="K73" s="104"/>
      <c r="L73" s="99"/>
      <c r="M73" s="99"/>
      <c r="N73" s="65"/>
      <c r="O73" s="99"/>
      <c r="P73" s="65"/>
      <c r="Q73" s="78"/>
      <c r="R73" s="78"/>
      <c r="S73" s="78"/>
    </row>
    <row r="74" ht="24.0" customHeight="1">
      <c r="A74" s="78"/>
      <c r="B74" s="78"/>
      <c r="C74" s="97" t="str">
        <f t="array" ref="C74">IF(B74="","",IFERROR(INDEX(Programs!$C$6:$C$205,MATCH(B74,Programs!$A$6:$A$205,0)),""))</f>
        <v/>
      </c>
      <c r="D74" s="97" t="str">
        <f t="array" ref="D74">IF(B74="","",IFERROR(INDEX(Programs!$B$6:$B$205,MATCH(B74,Programs!$A$6:$A$205,0)),""))</f>
        <v/>
      </c>
      <c r="E74" s="99"/>
      <c r="F74" s="99"/>
      <c r="G74" s="78"/>
      <c r="H74" s="74" t="str">
        <f>IF(A74="","",IF(COUNTIFS(Deadlines!$D$6:$D$205,A74,Deadlines!$H$6:$H$205,"&lt;&gt;Completed",Deadlines!$G$6:$G$205,"&lt;&gt;")=0,"",MINIFS(Deadlines!$G$6:$G$205,Deadlines!$D$6:$D$205,A74,Deadlines!$H$6:$H$205,"&lt;&gt;Completed")))</f>
        <v/>
      </c>
      <c r="I74" s="66" t="str">
        <f t="shared" si="1"/>
        <v/>
      </c>
      <c r="J74" s="66" t="str">
        <f>IF(A74="","",COUNTIFS(Tasks!$D$6:$D$205,A74,Tasks!$G$6:$G$205,"&lt;&gt;Done",Tasks!$H$6:$H$205,TRUE)+COUNTIFS(Documents!$K$6:$K$205,A74,Documents!$G$6:$G$205,"&lt;&gt;Ready")+COUNTIFS(Essays!$C$6:$C$205,A74,Essays!$G$6:$G$205,"&lt;&gt;Final")+COUNTIFS(Recommenders!$G$6:$G$205,A74,Recommenders!$H$6:$H$205,"&lt;&gt;Submitted"))</f>
        <v/>
      </c>
      <c r="K74" s="104"/>
      <c r="L74" s="99"/>
      <c r="M74" s="99"/>
      <c r="N74" s="65"/>
      <c r="O74" s="99"/>
      <c r="P74" s="65"/>
      <c r="Q74" s="78"/>
      <c r="R74" s="78"/>
      <c r="S74" s="78"/>
    </row>
    <row r="75" ht="24.0" customHeight="1">
      <c r="A75" s="78"/>
      <c r="B75" s="78"/>
      <c r="C75" s="97" t="str">
        <f t="array" ref="C75">IF(B75="","",IFERROR(INDEX(Programs!$C$6:$C$205,MATCH(B75,Programs!$A$6:$A$205,0)),""))</f>
        <v/>
      </c>
      <c r="D75" s="97" t="str">
        <f t="array" ref="D75">IF(B75="","",IFERROR(INDEX(Programs!$B$6:$B$205,MATCH(B75,Programs!$A$6:$A$205,0)),""))</f>
        <v/>
      </c>
      <c r="E75" s="99"/>
      <c r="F75" s="99"/>
      <c r="G75" s="78"/>
      <c r="H75" s="74" t="str">
        <f>IF(A75="","",IF(COUNTIFS(Deadlines!$D$6:$D$205,A75,Deadlines!$H$6:$H$205,"&lt;&gt;Completed",Deadlines!$G$6:$G$205,"&lt;&gt;")=0,"",MINIFS(Deadlines!$G$6:$G$205,Deadlines!$D$6:$D$205,A75,Deadlines!$H$6:$H$205,"&lt;&gt;Completed")))</f>
        <v/>
      </c>
      <c r="I75" s="66" t="str">
        <f t="shared" si="1"/>
        <v/>
      </c>
      <c r="J75" s="66" t="str">
        <f>IF(A75="","",COUNTIFS(Tasks!$D$6:$D$205,A75,Tasks!$G$6:$G$205,"&lt;&gt;Done",Tasks!$H$6:$H$205,TRUE)+COUNTIFS(Documents!$K$6:$K$205,A75,Documents!$G$6:$G$205,"&lt;&gt;Ready")+COUNTIFS(Essays!$C$6:$C$205,A75,Essays!$G$6:$G$205,"&lt;&gt;Final")+COUNTIFS(Recommenders!$G$6:$G$205,A75,Recommenders!$H$6:$H$205,"&lt;&gt;Submitted"))</f>
        <v/>
      </c>
      <c r="K75" s="104"/>
      <c r="L75" s="99"/>
      <c r="M75" s="99"/>
      <c r="N75" s="65"/>
      <c r="O75" s="99"/>
      <c r="P75" s="65"/>
      <c r="Q75" s="78"/>
      <c r="R75" s="78"/>
      <c r="S75" s="78"/>
    </row>
    <row r="76" ht="24.0" customHeight="1">
      <c r="A76" s="78"/>
      <c r="B76" s="78"/>
      <c r="C76" s="97" t="str">
        <f t="array" ref="C76">IF(B76="","",IFERROR(INDEX(Programs!$C$6:$C$205,MATCH(B76,Programs!$A$6:$A$205,0)),""))</f>
        <v/>
      </c>
      <c r="D76" s="97" t="str">
        <f t="array" ref="D76">IF(B76="","",IFERROR(INDEX(Programs!$B$6:$B$205,MATCH(B76,Programs!$A$6:$A$205,0)),""))</f>
        <v/>
      </c>
      <c r="E76" s="99"/>
      <c r="F76" s="99"/>
      <c r="G76" s="78"/>
      <c r="H76" s="74" t="str">
        <f>IF(A76="","",IF(COUNTIFS(Deadlines!$D$6:$D$205,A76,Deadlines!$H$6:$H$205,"&lt;&gt;Completed",Deadlines!$G$6:$G$205,"&lt;&gt;")=0,"",MINIFS(Deadlines!$G$6:$G$205,Deadlines!$D$6:$D$205,A76,Deadlines!$H$6:$H$205,"&lt;&gt;Completed")))</f>
        <v/>
      </c>
      <c r="I76" s="66" t="str">
        <f t="shared" si="1"/>
        <v/>
      </c>
      <c r="J76" s="66" t="str">
        <f>IF(A76="","",COUNTIFS(Tasks!$D$6:$D$205,A76,Tasks!$G$6:$G$205,"&lt;&gt;Done",Tasks!$H$6:$H$205,TRUE)+COUNTIFS(Documents!$K$6:$K$205,A76,Documents!$G$6:$G$205,"&lt;&gt;Ready")+COUNTIFS(Essays!$C$6:$C$205,A76,Essays!$G$6:$G$205,"&lt;&gt;Final")+COUNTIFS(Recommenders!$G$6:$G$205,A76,Recommenders!$H$6:$H$205,"&lt;&gt;Submitted"))</f>
        <v/>
      </c>
      <c r="K76" s="104"/>
      <c r="L76" s="99"/>
      <c r="M76" s="99"/>
      <c r="N76" s="65"/>
      <c r="O76" s="99"/>
      <c r="P76" s="65"/>
      <c r="Q76" s="78"/>
      <c r="R76" s="78"/>
      <c r="S76" s="78"/>
    </row>
    <row r="77" ht="24.0" customHeight="1">
      <c r="A77" s="78"/>
      <c r="B77" s="78"/>
      <c r="C77" s="97" t="str">
        <f t="array" ref="C77">IF(B77="","",IFERROR(INDEX(Programs!$C$6:$C$205,MATCH(B77,Programs!$A$6:$A$205,0)),""))</f>
        <v/>
      </c>
      <c r="D77" s="97" t="str">
        <f t="array" ref="D77">IF(B77="","",IFERROR(INDEX(Programs!$B$6:$B$205,MATCH(B77,Programs!$A$6:$A$205,0)),""))</f>
        <v/>
      </c>
      <c r="E77" s="99"/>
      <c r="F77" s="99"/>
      <c r="G77" s="78"/>
      <c r="H77" s="74" t="str">
        <f>IF(A77="","",IF(COUNTIFS(Deadlines!$D$6:$D$205,A77,Deadlines!$H$6:$H$205,"&lt;&gt;Completed",Deadlines!$G$6:$G$205,"&lt;&gt;")=0,"",MINIFS(Deadlines!$G$6:$G$205,Deadlines!$D$6:$D$205,A77,Deadlines!$H$6:$H$205,"&lt;&gt;Completed")))</f>
        <v/>
      </c>
      <c r="I77" s="66" t="str">
        <f t="shared" si="1"/>
        <v/>
      </c>
      <c r="J77" s="66" t="str">
        <f>IF(A77="","",COUNTIFS(Tasks!$D$6:$D$205,A77,Tasks!$G$6:$G$205,"&lt;&gt;Done",Tasks!$H$6:$H$205,TRUE)+COUNTIFS(Documents!$K$6:$K$205,A77,Documents!$G$6:$G$205,"&lt;&gt;Ready")+COUNTIFS(Essays!$C$6:$C$205,A77,Essays!$G$6:$G$205,"&lt;&gt;Final")+COUNTIFS(Recommenders!$G$6:$G$205,A77,Recommenders!$H$6:$H$205,"&lt;&gt;Submitted"))</f>
        <v/>
      </c>
      <c r="K77" s="104"/>
      <c r="L77" s="99"/>
      <c r="M77" s="99"/>
      <c r="N77" s="65"/>
      <c r="O77" s="99"/>
      <c r="P77" s="65"/>
      <c r="Q77" s="78"/>
      <c r="R77" s="78"/>
      <c r="S77" s="78"/>
    </row>
    <row r="78" ht="24.0" customHeight="1">
      <c r="A78" s="78"/>
      <c r="B78" s="78"/>
      <c r="C78" s="97" t="str">
        <f t="array" ref="C78">IF(B78="","",IFERROR(INDEX(Programs!$C$6:$C$205,MATCH(B78,Programs!$A$6:$A$205,0)),""))</f>
        <v/>
      </c>
      <c r="D78" s="97" t="str">
        <f t="array" ref="D78">IF(B78="","",IFERROR(INDEX(Programs!$B$6:$B$205,MATCH(B78,Programs!$A$6:$A$205,0)),""))</f>
        <v/>
      </c>
      <c r="E78" s="99"/>
      <c r="F78" s="99"/>
      <c r="G78" s="78"/>
      <c r="H78" s="74" t="str">
        <f>IF(A78="","",IF(COUNTIFS(Deadlines!$D$6:$D$205,A78,Deadlines!$H$6:$H$205,"&lt;&gt;Completed",Deadlines!$G$6:$G$205,"&lt;&gt;")=0,"",MINIFS(Deadlines!$G$6:$G$205,Deadlines!$D$6:$D$205,A78,Deadlines!$H$6:$H$205,"&lt;&gt;Completed")))</f>
        <v/>
      </c>
      <c r="I78" s="66" t="str">
        <f t="shared" si="1"/>
        <v/>
      </c>
      <c r="J78" s="66" t="str">
        <f>IF(A78="","",COUNTIFS(Tasks!$D$6:$D$205,A78,Tasks!$G$6:$G$205,"&lt;&gt;Done",Tasks!$H$6:$H$205,TRUE)+COUNTIFS(Documents!$K$6:$K$205,A78,Documents!$G$6:$G$205,"&lt;&gt;Ready")+COUNTIFS(Essays!$C$6:$C$205,A78,Essays!$G$6:$G$205,"&lt;&gt;Final")+COUNTIFS(Recommenders!$G$6:$G$205,A78,Recommenders!$H$6:$H$205,"&lt;&gt;Submitted"))</f>
        <v/>
      </c>
      <c r="K78" s="104"/>
      <c r="L78" s="99"/>
      <c r="M78" s="99"/>
      <c r="N78" s="65"/>
      <c r="O78" s="99"/>
      <c r="P78" s="65"/>
      <c r="Q78" s="78"/>
      <c r="R78" s="78"/>
      <c r="S78" s="78"/>
    </row>
    <row r="79" ht="24.0" customHeight="1">
      <c r="A79" s="78"/>
      <c r="B79" s="78"/>
      <c r="C79" s="97" t="str">
        <f t="array" ref="C79">IF(B79="","",IFERROR(INDEX(Programs!$C$6:$C$205,MATCH(B79,Programs!$A$6:$A$205,0)),""))</f>
        <v/>
      </c>
      <c r="D79" s="97" t="str">
        <f t="array" ref="D79">IF(B79="","",IFERROR(INDEX(Programs!$B$6:$B$205,MATCH(B79,Programs!$A$6:$A$205,0)),""))</f>
        <v/>
      </c>
      <c r="E79" s="99"/>
      <c r="F79" s="99"/>
      <c r="G79" s="78"/>
      <c r="H79" s="74" t="str">
        <f>IF(A79="","",IF(COUNTIFS(Deadlines!$D$6:$D$205,A79,Deadlines!$H$6:$H$205,"&lt;&gt;Completed",Deadlines!$G$6:$G$205,"&lt;&gt;")=0,"",MINIFS(Deadlines!$G$6:$G$205,Deadlines!$D$6:$D$205,A79,Deadlines!$H$6:$H$205,"&lt;&gt;Completed")))</f>
        <v/>
      </c>
      <c r="I79" s="66" t="str">
        <f t="shared" si="1"/>
        <v/>
      </c>
      <c r="J79" s="66" t="str">
        <f>IF(A79="","",COUNTIFS(Tasks!$D$6:$D$205,A79,Tasks!$G$6:$G$205,"&lt;&gt;Done",Tasks!$H$6:$H$205,TRUE)+COUNTIFS(Documents!$K$6:$K$205,A79,Documents!$G$6:$G$205,"&lt;&gt;Ready")+COUNTIFS(Essays!$C$6:$C$205,A79,Essays!$G$6:$G$205,"&lt;&gt;Final")+COUNTIFS(Recommenders!$G$6:$G$205,A79,Recommenders!$H$6:$H$205,"&lt;&gt;Submitted"))</f>
        <v/>
      </c>
      <c r="K79" s="104"/>
      <c r="L79" s="99"/>
      <c r="M79" s="99"/>
      <c r="N79" s="65"/>
      <c r="O79" s="99"/>
      <c r="P79" s="65"/>
      <c r="Q79" s="78"/>
      <c r="R79" s="78"/>
      <c r="S79" s="78"/>
    </row>
    <row r="80" ht="24.0" customHeight="1">
      <c r="A80" s="78"/>
      <c r="B80" s="78"/>
      <c r="C80" s="97" t="str">
        <f t="array" ref="C80">IF(B80="","",IFERROR(INDEX(Programs!$C$6:$C$205,MATCH(B80,Programs!$A$6:$A$205,0)),""))</f>
        <v/>
      </c>
      <c r="D80" s="97" t="str">
        <f t="array" ref="D80">IF(B80="","",IFERROR(INDEX(Programs!$B$6:$B$205,MATCH(B80,Programs!$A$6:$A$205,0)),""))</f>
        <v/>
      </c>
      <c r="E80" s="99"/>
      <c r="F80" s="99"/>
      <c r="G80" s="78"/>
      <c r="H80" s="74" t="str">
        <f>IF(A80="","",IF(COUNTIFS(Deadlines!$D$6:$D$205,A80,Deadlines!$H$6:$H$205,"&lt;&gt;Completed",Deadlines!$G$6:$G$205,"&lt;&gt;")=0,"",MINIFS(Deadlines!$G$6:$G$205,Deadlines!$D$6:$D$205,A80,Deadlines!$H$6:$H$205,"&lt;&gt;Completed")))</f>
        <v/>
      </c>
      <c r="I80" s="66" t="str">
        <f t="shared" si="1"/>
        <v/>
      </c>
      <c r="J80" s="66" t="str">
        <f>IF(A80="","",COUNTIFS(Tasks!$D$6:$D$205,A80,Tasks!$G$6:$G$205,"&lt;&gt;Done",Tasks!$H$6:$H$205,TRUE)+COUNTIFS(Documents!$K$6:$K$205,A80,Documents!$G$6:$G$205,"&lt;&gt;Ready")+COUNTIFS(Essays!$C$6:$C$205,A80,Essays!$G$6:$G$205,"&lt;&gt;Final")+COUNTIFS(Recommenders!$G$6:$G$205,A80,Recommenders!$H$6:$H$205,"&lt;&gt;Submitted"))</f>
        <v/>
      </c>
      <c r="K80" s="104"/>
      <c r="L80" s="99"/>
      <c r="M80" s="99"/>
      <c r="N80" s="65"/>
      <c r="O80" s="99"/>
      <c r="P80" s="65"/>
      <c r="Q80" s="78"/>
      <c r="R80" s="78"/>
      <c r="S80" s="78"/>
    </row>
    <row r="81" ht="24.0" customHeight="1">
      <c r="A81" s="78"/>
      <c r="B81" s="78"/>
      <c r="C81" s="97" t="str">
        <f t="array" ref="C81">IF(B81="","",IFERROR(INDEX(Programs!$C$6:$C$205,MATCH(B81,Programs!$A$6:$A$205,0)),""))</f>
        <v/>
      </c>
      <c r="D81" s="97" t="str">
        <f t="array" ref="D81">IF(B81="","",IFERROR(INDEX(Programs!$B$6:$B$205,MATCH(B81,Programs!$A$6:$A$205,0)),""))</f>
        <v/>
      </c>
      <c r="E81" s="99"/>
      <c r="F81" s="99"/>
      <c r="G81" s="78"/>
      <c r="H81" s="74" t="str">
        <f>IF(A81="","",IF(COUNTIFS(Deadlines!$D$6:$D$205,A81,Deadlines!$H$6:$H$205,"&lt;&gt;Completed",Deadlines!$G$6:$G$205,"&lt;&gt;")=0,"",MINIFS(Deadlines!$G$6:$G$205,Deadlines!$D$6:$D$205,A81,Deadlines!$H$6:$H$205,"&lt;&gt;Completed")))</f>
        <v/>
      </c>
      <c r="I81" s="66" t="str">
        <f t="shared" si="1"/>
        <v/>
      </c>
      <c r="J81" s="66" t="str">
        <f>IF(A81="","",COUNTIFS(Tasks!$D$6:$D$205,A81,Tasks!$G$6:$G$205,"&lt;&gt;Done",Tasks!$H$6:$H$205,TRUE)+COUNTIFS(Documents!$K$6:$K$205,A81,Documents!$G$6:$G$205,"&lt;&gt;Ready")+COUNTIFS(Essays!$C$6:$C$205,A81,Essays!$G$6:$G$205,"&lt;&gt;Final")+COUNTIFS(Recommenders!$G$6:$G$205,A81,Recommenders!$H$6:$H$205,"&lt;&gt;Submitted"))</f>
        <v/>
      </c>
      <c r="K81" s="104"/>
      <c r="L81" s="99"/>
      <c r="M81" s="99"/>
      <c r="N81" s="65"/>
      <c r="O81" s="99"/>
      <c r="P81" s="65"/>
      <c r="Q81" s="78"/>
      <c r="R81" s="78"/>
      <c r="S81" s="78"/>
    </row>
    <row r="82" ht="24.0" customHeight="1">
      <c r="A82" s="78"/>
      <c r="B82" s="78"/>
      <c r="C82" s="97" t="str">
        <f t="array" ref="C82">IF(B82="","",IFERROR(INDEX(Programs!$C$6:$C$205,MATCH(B82,Programs!$A$6:$A$205,0)),""))</f>
        <v/>
      </c>
      <c r="D82" s="97" t="str">
        <f t="array" ref="D82">IF(B82="","",IFERROR(INDEX(Programs!$B$6:$B$205,MATCH(B82,Programs!$A$6:$A$205,0)),""))</f>
        <v/>
      </c>
      <c r="E82" s="99"/>
      <c r="F82" s="99"/>
      <c r="G82" s="78"/>
      <c r="H82" s="74" t="str">
        <f>IF(A82="","",IF(COUNTIFS(Deadlines!$D$6:$D$205,A82,Deadlines!$H$6:$H$205,"&lt;&gt;Completed",Deadlines!$G$6:$G$205,"&lt;&gt;")=0,"",MINIFS(Deadlines!$G$6:$G$205,Deadlines!$D$6:$D$205,A82,Deadlines!$H$6:$H$205,"&lt;&gt;Completed")))</f>
        <v/>
      </c>
      <c r="I82" s="66" t="str">
        <f t="shared" si="1"/>
        <v/>
      </c>
      <c r="J82" s="66" t="str">
        <f>IF(A82="","",COUNTIFS(Tasks!$D$6:$D$205,A82,Tasks!$G$6:$G$205,"&lt;&gt;Done",Tasks!$H$6:$H$205,TRUE)+COUNTIFS(Documents!$K$6:$K$205,A82,Documents!$G$6:$G$205,"&lt;&gt;Ready")+COUNTIFS(Essays!$C$6:$C$205,A82,Essays!$G$6:$G$205,"&lt;&gt;Final")+COUNTIFS(Recommenders!$G$6:$G$205,A82,Recommenders!$H$6:$H$205,"&lt;&gt;Submitted"))</f>
        <v/>
      </c>
      <c r="K82" s="104"/>
      <c r="L82" s="99"/>
      <c r="M82" s="99"/>
      <c r="N82" s="65"/>
      <c r="O82" s="99"/>
      <c r="P82" s="65"/>
      <c r="Q82" s="78"/>
      <c r="R82" s="78"/>
      <c r="S82" s="78"/>
    </row>
    <row r="83" ht="24.0" customHeight="1">
      <c r="A83" s="78"/>
      <c r="B83" s="78"/>
      <c r="C83" s="97" t="str">
        <f t="array" ref="C83">IF(B83="","",IFERROR(INDEX(Programs!$C$6:$C$205,MATCH(B83,Programs!$A$6:$A$205,0)),""))</f>
        <v/>
      </c>
      <c r="D83" s="97" t="str">
        <f t="array" ref="D83">IF(B83="","",IFERROR(INDEX(Programs!$B$6:$B$205,MATCH(B83,Programs!$A$6:$A$205,0)),""))</f>
        <v/>
      </c>
      <c r="E83" s="99"/>
      <c r="F83" s="99"/>
      <c r="G83" s="78"/>
      <c r="H83" s="74" t="str">
        <f>IF(A83="","",IF(COUNTIFS(Deadlines!$D$6:$D$205,A83,Deadlines!$H$6:$H$205,"&lt;&gt;Completed",Deadlines!$G$6:$G$205,"&lt;&gt;")=0,"",MINIFS(Deadlines!$G$6:$G$205,Deadlines!$D$6:$D$205,A83,Deadlines!$H$6:$H$205,"&lt;&gt;Completed")))</f>
        <v/>
      </c>
      <c r="I83" s="66" t="str">
        <f t="shared" si="1"/>
        <v/>
      </c>
      <c r="J83" s="66" t="str">
        <f>IF(A83="","",COUNTIFS(Tasks!$D$6:$D$205,A83,Tasks!$G$6:$G$205,"&lt;&gt;Done",Tasks!$H$6:$H$205,TRUE)+COUNTIFS(Documents!$K$6:$K$205,A83,Documents!$G$6:$G$205,"&lt;&gt;Ready")+COUNTIFS(Essays!$C$6:$C$205,A83,Essays!$G$6:$G$205,"&lt;&gt;Final")+COUNTIFS(Recommenders!$G$6:$G$205,A83,Recommenders!$H$6:$H$205,"&lt;&gt;Submitted"))</f>
        <v/>
      </c>
      <c r="K83" s="104"/>
      <c r="L83" s="99"/>
      <c r="M83" s="99"/>
      <c r="N83" s="65"/>
      <c r="O83" s="99"/>
      <c r="P83" s="65"/>
      <c r="Q83" s="78"/>
      <c r="R83" s="78"/>
      <c r="S83" s="78"/>
    </row>
    <row r="84" ht="24.0" customHeight="1">
      <c r="A84" s="78"/>
      <c r="B84" s="78"/>
      <c r="C84" s="97" t="str">
        <f t="array" ref="C84">IF(B84="","",IFERROR(INDEX(Programs!$C$6:$C$205,MATCH(B84,Programs!$A$6:$A$205,0)),""))</f>
        <v/>
      </c>
      <c r="D84" s="97" t="str">
        <f t="array" ref="D84">IF(B84="","",IFERROR(INDEX(Programs!$B$6:$B$205,MATCH(B84,Programs!$A$6:$A$205,0)),""))</f>
        <v/>
      </c>
      <c r="E84" s="99"/>
      <c r="F84" s="99"/>
      <c r="G84" s="78"/>
      <c r="H84" s="74" t="str">
        <f>IF(A84="","",IF(COUNTIFS(Deadlines!$D$6:$D$205,A84,Deadlines!$H$6:$H$205,"&lt;&gt;Completed",Deadlines!$G$6:$G$205,"&lt;&gt;")=0,"",MINIFS(Deadlines!$G$6:$G$205,Deadlines!$D$6:$D$205,A84,Deadlines!$H$6:$H$205,"&lt;&gt;Completed")))</f>
        <v/>
      </c>
      <c r="I84" s="66" t="str">
        <f t="shared" si="1"/>
        <v/>
      </c>
      <c r="J84" s="66" t="str">
        <f>IF(A84="","",COUNTIFS(Tasks!$D$6:$D$205,A84,Tasks!$G$6:$G$205,"&lt;&gt;Done",Tasks!$H$6:$H$205,TRUE)+COUNTIFS(Documents!$K$6:$K$205,A84,Documents!$G$6:$G$205,"&lt;&gt;Ready")+COUNTIFS(Essays!$C$6:$C$205,A84,Essays!$G$6:$G$205,"&lt;&gt;Final")+COUNTIFS(Recommenders!$G$6:$G$205,A84,Recommenders!$H$6:$H$205,"&lt;&gt;Submitted"))</f>
        <v/>
      </c>
      <c r="K84" s="104"/>
      <c r="L84" s="99"/>
      <c r="M84" s="99"/>
      <c r="N84" s="65"/>
      <c r="O84" s="99"/>
      <c r="P84" s="65"/>
      <c r="Q84" s="78"/>
      <c r="R84" s="78"/>
      <c r="S84" s="78"/>
    </row>
    <row r="85" ht="24.0" customHeight="1">
      <c r="A85" s="78"/>
      <c r="B85" s="78"/>
      <c r="C85" s="97" t="str">
        <f t="array" ref="C85">IF(B85="","",IFERROR(INDEX(Programs!$C$6:$C$205,MATCH(B85,Programs!$A$6:$A$205,0)),""))</f>
        <v/>
      </c>
      <c r="D85" s="97" t="str">
        <f t="array" ref="D85">IF(B85="","",IFERROR(INDEX(Programs!$B$6:$B$205,MATCH(B85,Programs!$A$6:$A$205,0)),""))</f>
        <v/>
      </c>
      <c r="E85" s="99"/>
      <c r="F85" s="99"/>
      <c r="G85" s="78"/>
      <c r="H85" s="74" t="str">
        <f>IF(A85="","",IF(COUNTIFS(Deadlines!$D$6:$D$205,A85,Deadlines!$H$6:$H$205,"&lt;&gt;Completed",Deadlines!$G$6:$G$205,"&lt;&gt;")=0,"",MINIFS(Deadlines!$G$6:$G$205,Deadlines!$D$6:$D$205,A85,Deadlines!$H$6:$H$205,"&lt;&gt;Completed")))</f>
        <v/>
      </c>
      <c r="I85" s="66" t="str">
        <f t="shared" si="1"/>
        <v/>
      </c>
      <c r="J85" s="66" t="str">
        <f>IF(A85="","",COUNTIFS(Tasks!$D$6:$D$205,A85,Tasks!$G$6:$G$205,"&lt;&gt;Done",Tasks!$H$6:$H$205,TRUE)+COUNTIFS(Documents!$K$6:$K$205,A85,Documents!$G$6:$G$205,"&lt;&gt;Ready")+COUNTIFS(Essays!$C$6:$C$205,A85,Essays!$G$6:$G$205,"&lt;&gt;Final")+COUNTIFS(Recommenders!$G$6:$G$205,A85,Recommenders!$H$6:$H$205,"&lt;&gt;Submitted"))</f>
        <v/>
      </c>
      <c r="K85" s="104"/>
      <c r="L85" s="99"/>
      <c r="M85" s="99"/>
      <c r="N85" s="65"/>
      <c r="O85" s="99"/>
      <c r="P85" s="65"/>
      <c r="Q85" s="78"/>
      <c r="R85" s="78"/>
      <c r="S85" s="78"/>
    </row>
    <row r="86" ht="24.0" customHeight="1">
      <c r="A86" s="78"/>
      <c r="B86" s="78"/>
      <c r="C86" s="97" t="str">
        <f t="array" ref="C86">IF(B86="","",IFERROR(INDEX(Programs!$C$6:$C$205,MATCH(B86,Programs!$A$6:$A$205,0)),""))</f>
        <v/>
      </c>
      <c r="D86" s="97" t="str">
        <f t="array" ref="D86">IF(B86="","",IFERROR(INDEX(Programs!$B$6:$B$205,MATCH(B86,Programs!$A$6:$A$205,0)),""))</f>
        <v/>
      </c>
      <c r="E86" s="99"/>
      <c r="F86" s="99"/>
      <c r="G86" s="78"/>
      <c r="H86" s="74" t="str">
        <f>IF(A86="","",IF(COUNTIFS(Deadlines!$D$6:$D$205,A86,Deadlines!$H$6:$H$205,"&lt;&gt;Completed",Deadlines!$G$6:$G$205,"&lt;&gt;")=0,"",MINIFS(Deadlines!$G$6:$G$205,Deadlines!$D$6:$D$205,A86,Deadlines!$H$6:$H$205,"&lt;&gt;Completed")))</f>
        <v/>
      </c>
      <c r="I86" s="66" t="str">
        <f t="shared" si="1"/>
        <v/>
      </c>
      <c r="J86" s="66" t="str">
        <f>IF(A86="","",COUNTIFS(Tasks!$D$6:$D$205,A86,Tasks!$G$6:$G$205,"&lt;&gt;Done",Tasks!$H$6:$H$205,TRUE)+COUNTIFS(Documents!$K$6:$K$205,A86,Documents!$G$6:$G$205,"&lt;&gt;Ready")+COUNTIFS(Essays!$C$6:$C$205,A86,Essays!$G$6:$G$205,"&lt;&gt;Final")+COUNTIFS(Recommenders!$G$6:$G$205,A86,Recommenders!$H$6:$H$205,"&lt;&gt;Submitted"))</f>
        <v/>
      </c>
      <c r="K86" s="104"/>
      <c r="L86" s="99"/>
      <c r="M86" s="99"/>
      <c r="N86" s="65"/>
      <c r="O86" s="99"/>
      <c r="P86" s="65"/>
      <c r="Q86" s="78"/>
      <c r="R86" s="78"/>
      <c r="S86" s="78"/>
    </row>
    <row r="87" ht="24.0" customHeight="1">
      <c r="A87" s="78"/>
      <c r="B87" s="78"/>
      <c r="C87" s="97" t="str">
        <f t="array" ref="C87">IF(B87="","",IFERROR(INDEX(Programs!$C$6:$C$205,MATCH(B87,Programs!$A$6:$A$205,0)),""))</f>
        <v/>
      </c>
      <c r="D87" s="97" t="str">
        <f t="array" ref="D87">IF(B87="","",IFERROR(INDEX(Programs!$B$6:$B$205,MATCH(B87,Programs!$A$6:$A$205,0)),""))</f>
        <v/>
      </c>
      <c r="E87" s="99"/>
      <c r="F87" s="99"/>
      <c r="G87" s="78"/>
      <c r="H87" s="74" t="str">
        <f>IF(A87="","",IF(COUNTIFS(Deadlines!$D$6:$D$205,A87,Deadlines!$H$6:$H$205,"&lt;&gt;Completed",Deadlines!$G$6:$G$205,"&lt;&gt;")=0,"",MINIFS(Deadlines!$G$6:$G$205,Deadlines!$D$6:$D$205,A87,Deadlines!$H$6:$H$205,"&lt;&gt;Completed")))</f>
        <v/>
      </c>
      <c r="I87" s="66" t="str">
        <f t="shared" si="1"/>
        <v/>
      </c>
      <c r="J87" s="66" t="str">
        <f>IF(A87="","",COUNTIFS(Tasks!$D$6:$D$205,A87,Tasks!$G$6:$G$205,"&lt;&gt;Done",Tasks!$H$6:$H$205,TRUE)+COUNTIFS(Documents!$K$6:$K$205,A87,Documents!$G$6:$G$205,"&lt;&gt;Ready")+COUNTIFS(Essays!$C$6:$C$205,A87,Essays!$G$6:$G$205,"&lt;&gt;Final")+COUNTIFS(Recommenders!$G$6:$G$205,A87,Recommenders!$H$6:$H$205,"&lt;&gt;Submitted"))</f>
        <v/>
      </c>
      <c r="K87" s="104"/>
      <c r="L87" s="99"/>
      <c r="M87" s="99"/>
      <c r="N87" s="65"/>
      <c r="O87" s="99"/>
      <c r="P87" s="65"/>
      <c r="Q87" s="78"/>
      <c r="R87" s="78"/>
      <c r="S87" s="78"/>
    </row>
    <row r="88" ht="24.0" customHeight="1">
      <c r="A88" s="78"/>
      <c r="B88" s="78"/>
      <c r="C88" s="97" t="str">
        <f t="array" ref="C88">IF(B88="","",IFERROR(INDEX(Programs!$C$6:$C$205,MATCH(B88,Programs!$A$6:$A$205,0)),""))</f>
        <v/>
      </c>
      <c r="D88" s="97" t="str">
        <f t="array" ref="D88">IF(B88="","",IFERROR(INDEX(Programs!$B$6:$B$205,MATCH(B88,Programs!$A$6:$A$205,0)),""))</f>
        <v/>
      </c>
      <c r="E88" s="99"/>
      <c r="F88" s="99"/>
      <c r="G88" s="78"/>
      <c r="H88" s="74" t="str">
        <f>IF(A88="","",IF(COUNTIFS(Deadlines!$D$6:$D$205,A88,Deadlines!$H$6:$H$205,"&lt;&gt;Completed",Deadlines!$G$6:$G$205,"&lt;&gt;")=0,"",MINIFS(Deadlines!$G$6:$G$205,Deadlines!$D$6:$D$205,A88,Deadlines!$H$6:$H$205,"&lt;&gt;Completed")))</f>
        <v/>
      </c>
      <c r="I88" s="66" t="str">
        <f t="shared" si="1"/>
        <v/>
      </c>
      <c r="J88" s="66" t="str">
        <f>IF(A88="","",COUNTIFS(Tasks!$D$6:$D$205,A88,Tasks!$G$6:$G$205,"&lt;&gt;Done",Tasks!$H$6:$H$205,TRUE)+COUNTIFS(Documents!$K$6:$K$205,A88,Documents!$G$6:$G$205,"&lt;&gt;Ready")+COUNTIFS(Essays!$C$6:$C$205,A88,Essays!$G$6:$G$205,"&lt;&gt;Final")+COUNTIFS(Recommenders!$G$6:$G$205,A88,Recommenders!$H$6:$H$205,"&lt;&gt;Submitted"))</f>
        <v/>
      </c>
      <c r="K88" s="104"/>
      <c r="L88" s="99"/>
      <c r="M88" s="99"/>
      <c r="N88" s="65"/>
      <c r="O88" s="99"/>
      <c r="P88" s="65"/>
      <c r="Q88" s="78"/>
      <c r="R88" s="78"/>
      <c r="S88" s="78"/>
    </row>
    <row r="89" ht="24.0" customHeight="1">
      <c r="A89" s="78"/>
      <c r="B89" s="78"/>
      <c r="C89" s="97" t="str">
        <f t="array" ref="C89">IF(B89="","",IFERROR(INDEX(Programs!$C$6:$C$205,MATCH(B89,Programs!$A$6:$A$205,0)),""))</f>
        <v/>
      </c>
      <c r="D89" s="97" t="str">
        <f t="array" ref="D89">IF(B89="","",IFERROR(INDEX(Programs!$B$6:$B$205,MATCH(B89,Programs!$A$6:$A$205,0)),""))</f>
        <v/>
      </c>
      <c r="E89" s="99"/>
      <c r="F89" s="99"/>
      <c r="G89" s="78"/>
      <c r="H89" s="74" t="str">
        <f>IF(A89="","",IF(COUNTIFS(Deadlines!$D$6:$D$205,A89,Deadlines!$H$6:$H$205,"&lt;&gt;Completed",Deadlines!$G$6:$G$205,"&lt;&gt;")=0,"",MINIFS(Deadlines!$G$6:$G$205,Deadlines!$D$6:$D$205,A89,Deadlines!$H$6:$H$205,"&lt;&gt;Completed")))</f>
        <v/>
      </c>
      <c r="I89" s="66" t="str">
        <f t="shared" si="1"/>
        <v/>
      </c>
      <c r="J89" s="66" t="str">
        <f>IF(A89="","",COUNTIFS(Tasks!$D$6:$D$205,A89,Tasks!$G$6:$G$205,"&lt;&gt;Done",Tasks!$H$6:$H$205,TRUE)+COUNTIFS(Documents!$K$6:$K$205,A89,Documents!$G$6:$G$205,"&lt;&gt;Ready")+COUNTIFS(Essays!$C$6:$C$205,A89,Essays!$G$6:$G$205,"&lt;&gt;Final")+COUNTIFS(Recommenders!$G$6:$G$205,A89,Recommenders!$H$6:$H$205,"&lt;&gt;Submitted"))</f>
        <v/>
      </c>
      <c r="K89" s="104"/>
      <c r="L89" s="99"/>
      <c r="M89" s="99"/>
      <c r="N89" s="65"/>
      <c r="O89" s="99"/>
      <c r="P89" s="65"/>
      <c r="Q89" s="78"/>
      <c r="R89" s="78"/>
      <c r="S89" s="78"/>
    </row>
    <row r="90" ht="24.0" customHeight="1">
      <c r="A90" s="78"/>
      <c r="B90" s="78"/>
      <c r="C90" s="97" t="str">
        <f t="array" ref="C90">IF(B90="","",IFERROR(INDEX(Programs!$C$6:$C$205,MATCH(B90,Programs!$A$6:$A$205,0)),""))</f>
        <v/>
      </c>
      <c r="D90" s="97" t="str">
        <f t="array" ref="D90">IF(B90="","",IFERROR(INDEX(Programs!$B$6:$B$205,MATCH(B90,Programs!$A$6:$A$205,0)),""))</f>
        <v/>
      </c>
      <c r="E90" s="99"/>
      <c r="F90" s="99"/>
      <c r="G90" s="78"/>
      <c r="H90" s="74" t="str">
        <f>IF(A90="","",IF(COUNTIFS(Deadlines!$D$6:$D$205,A90,Deadlines!$H$6:$H$205,"&lt;&gt;Completed",Deadlines!$G$6:$G$205,"&lt;&gt;")=0,"",MINIFS(Deadlines!$G$6:$G$205,Deadlines!$D$6:$D$205,A90,Deadlines!$H$6:$H$205,"&lt;&gt;Completed")))</f>
        <v/>
      </c>
      <c r="I90" s="66" t="str">
        <f t="shared" si="1"/>
        <v/>
      </c>
      <c r="J90" s="66" t="str">
        <f>IF(A90="","",COUNTIFS(Tasks!$D$6:$D$205,A90,Tasks!$G$6:$G$205,"&lt;&gt;Done",Tasks!$H$6:$H$205,TRUE)+COUNTIFS(Documents!$K$6:$K$205,A90,Documents!$G$6:$G$205,"&lt;&gt;Ready")+COUNTIFS(Essays!$C$6:$C$205,A90,Essays!$G$6:$G$205,"&lt;&gt;Final")+COUNTIFS(Recommenders!$G$6:$G$205,A90,Recommenders!$H$6:$H$205,"&lt;&gt;Submitted"))</f>
        <v/>
      </c>
      <c r="K90" s="104"/>
      <c r="L90" s="99"/>
      <c r="M90" s="99"/>
      <c r="N90" s="65"/>
      <c r="O90" s="99"/>
      <c r="P90" s="65"/>
      <c r="Q90" s="78"/>
      <c r="R90" s="78"/>
      <c r="S90" s="78"/>
    </row>
    <row r="91" ht="24.0" customHeight="1">
      <c r="A91" s="78"/>
      <c r="B91" s="78"/>
      <c r="C91" s="97" t="str">
        <f t="array" ref="C91">IF(B91="","",IFERROR(INDEX(Programs!$C$6:$C$205,MATCH(B91,Programs!$A$6:$A$205,0)),""))</f>
        <v/>
      </c>
      <c r="D91" s="97" t="str">
        <f t="array" ref="D91">IF(B91="","",IFERROR(INDEX(Programs!$B$6:$B$205,MATCH(B91,Programs!$A$6:$A$205,0)),""))</f>
        <v/>
      </c>
      <c r="E91" s="99"/>
      <c r="F91" s="99"/>
      <c r="G91" s="78"/>
      <c r="H91" s="74" t="str">
        <f>IF(A91="","",IF(COUNTIFS(Deadlines!$D$6:$D$205,A91,Deadlines!$H$6:$H$205,"&lt;&gt;Completed",Deadlines!$G$6:$G$205,"&lt;&gt;")=0,"",MINIFS(Deadlines!$G$6:$G$205,Deadlines!$D$6:$D$205,A91,Deadlines!$H$6:$H$205,"&lt;&gt;Completed")))</f>
        <v/>
      </c>
      <c r="I91" s="66" t="str">
        <f t="shared" si="1"/>
        <v/>
      </c>
      <c r="J91" s="66" t="str">
        <f>IF(A91="","",COUNTIFS(Tasks!$D$6:$D$205,A91,Tasks!$G$6:$G$205,"&lt;&gt;Done",Tasks!$H$6:$H$205,TRUE)+COUNTIFS(Documents!$K$6:$K$205,A91,Documents!$G$6:$G$205,"&lt;&gt;Ready")+COUNTIFS(Essays!$C$6:$C$205,A91,Essays!$G$6:$G$205,"&lt;&gt;Final")+COUNTIFS(Recommenders!$G$6:$G$205,A91,Recommenders!$H$6:$H$205,"&lt;&gt;Submitted"))</f>
        <v/>
      </c>
      <c r="K91" s="104"/>
      <c r="L91" s="99"/>
      <c r="M91" s="99"/>
      <c r="N91" s="65"/>
      <c r="O91" s="99"/>
      <c r="P91" s="65"/>
      <c r="Q91" s="78"/>
      <c r="R91" s="78"/>
      <c r="S91" s="78"/>
    </row>
    <row r="92" ht="24.0" customHeight="1">
      <c r="A92" s="78"/>
      <c r="B92" s="78"/>
      <c r="C92" s="97" t="str">
        <f t="array" ref="C92">IF(B92="","",IFERROR(INDEX(Programs!$C$6:$C$205,MATCH(B92,Programs!$A$6:$A$205,0)),""))</f>
        <v/>
      </c>
      <c r="D92" s="97" t="str">
        <f t="array" ref="D92">IF(B92="","",IFERROR(INDEX(Programs!$B$6:$B$205,MATCH(B92,Programs!$A$6:$A$205,0)),""))</f>
        <v/>
      </c>
      <c r="E92" s="99"/>
      <c r="F92" s="99"/>
      <c r="G92" s="78"/>
      <c r="H92" s="74" t="str">
        <f>IF(A92="","",IF(COUNTIFS(Deadlines!$D$6:$D$205,A92,Deadlines!$H$6:$H$205,"&lt;&gt;Completed",Deadlines!$G$6:$G$205,"&lt;&gt;")=0,"",MINIFS(Deadlines!$G$6:$G$205,Deadlines!$D$6:$D$205,A92,Deadlines!$H$6:$H$205,"&lt;&gt;Completed")))</f>
        <v/>
      </c>
      <c r="I92" s="66" t="str">
        <f t="shared" si="1"/>
        <v/>
      </c>
      <c r="J92" s="66" t="str">
        <f>IF(A92="","",COUNTIFS(Tasks!$D$6:$D$205,A92,Tasks!$G$6:$G$205,"&lt;&gt;Done",Tasks!$H$6:$H$205,TRUE)+COUNTIFS(Documents!$K$6:$K$205,A92,Documents!$G$6:$G$205,"&lt;&gt;Ready")+COUNTIFS(Essays!$C$6:$C$205,A92,Essays!$G$6:$G$205,"&lt;&gt;Final")+COUNTIFS(Recommenders!$G$6:$G$205,A92,Recommenders!$H$6:$H$205,"&lt;&gt;Submitted"))</f>
        <v/>
      </c>
      <c r="K92" s="104"/>
      <c r="L92" s="99"/>
      <c r="M92" s="99"/>
      <c r="N92" s="65"/>
      <c r="O92" s="99"/>
      <c r="P92" s="65"/>
      <c r="Q92" s="78"/>
      <c r="R92" s="78"/>
      <c r="S92" s="78"/>
    </row>
    <row r="93" ht="24.0" customHeight="1">
      <c r="A93" s="78"/>
      <c r="B93" s="78"/>
      <c r="C93" s="97" t="str">
        <f t="array" ref="C93">IF(B93="","",IFERROR(INDEX(Programs!$C$6:$C$205,MATCH(B93,Programs!$A$6:$A$205,0)),""))</f>
        <v/>
      </c>
      <c r="D93" s="97" t="str">
        <f t="array" ref="D93">IF(B93="","",IFERROR(INDEX(Programs!$B$6:$B$205,MATCH(B93,Programs!$A$6:$A$205,0)),""))</f>
        <v/>
      </c>
      <c r="E93" s="99"/>
      <c r="F93" s="99"/>
      <c r="G93" s="78"/>
      <c r="H93" s="74" t="str">
        <f>IF(A93="","",IF(COUNTIFS(Deadlines!$D$6:$D$205,A93,Deadlines!$H$6:$H$205,"&lt;&gt;Completed",Deadlines!$G$6:$G$205,"&lt;&gt;")=0,"",MINIFS(Deadlines!$G$6:$G$205,Deadlines!$D$6:$D$205,A93,Deadlines!$H$6:$H$205,"&lt;&gt;Completed")))</f>
        <v/>
      </c>
      <c r="I93" s="66" t="str">
        <f t="shared" si="1"/>
        <v/>
      </c>
      <c r="J93" s="66" t="str">
        <f>IF(A93="","",COUNTIFS(Tasks!$D$6:$D$205,A93,Tasks!$G$6:$G$205,"&lt;&gt;Done",Tasks!$H$6:$H$205,TRUE)+COUNTIFS(Documents!$K$6:$K$205,A93,Documents!$G$6:$G$205,"&lt;&gt;Ready")+COUNTIFS(Essays!$C$6:$C$205,A93,Essays!$G$6:$G$205,"&lt;&gt;Final")+COUNTIFS(Recommenders!$G$6:$G$205,A93,Recommenders!$H$6:$H$205,"&lt;&gt;Submitted"))</f>
        <v/>
      </c>
      <c r="K93" s="104"/>
      <c r="L93" s="99"/>
      <c r="M93" s="99"/>
      <c r="N93" s="65"/>
      <c r="O93" s="99"/>
      <c r="P93" s="65"/>
      <c r="Q93" s="78"/>
      <c r="R93" s="78"/>
      <c r="S93" s="78"/>
    </row>
    <row r="94" ht="24.0" customHeight="1">
      <c r="A94" s="78"/>
      <c r="B94" s="78"/>
      <c r="C94" s="97" t="str">
        <f t="array" ref="C94">IF(B94="","",IFERROR(INDEX(Programs!$C$6:$C$205,MATCH(B94,Programs!$A$6:$A$205,0)),""))</f>
        <v/>
      </c>
      <c r="D94" s="97" t="str">
        <f t="array" ref="D94">IF(B94="","",IFERROR(INDEX(Programs!$B$6:$B$205,MATCH(B94,Programs!$A$6:$A$205,0)),""))</f>
        <v/>
      </c>
      <c r="E94" s="99"/>
      <c r="F94" s="99"/>
      <c r="G94" s="78"/>
      <c r="H94" s="74" t="str">
        <f>IF(A94="","",IF(COUNTIFS(Deadlines!$D$6:$D$205,A94,Deadlines!$H$6:$H$205,"&lt;&gt;Completed",Deadlines!$G$6:$G$205,"&lt;&gt;")=0,"",MINIFS(Deadlines!$G$6:$G$205,Deadlines!$D$6:$D$205,A94,Deadlines!$H$6:$H$205,"&lt;&gt;Completed")))</f>
        <v/>
      </c>
      <c r="I94" s="66" t="str">
        <f t="shared" si="1"/>
        <v/>
      </c>
      <c r="J94" s="66" t="str">
        <f>IF(A94="","",COUNTIFS(Tasks!$D$6:$D$205,A94,Tasks!$G$6:$G$205,"&lt;&gt;Done",Tasks!$H$6:$H$205,TRUE)+COUNTIFS(Documents!$K$6:$K$205,A94,Documents!$G$6:$G$205,"&lt;&gt;Ready")+COUNTIFS(Essays!$C$6:$C$205,A94,Essays!$G$6:$G$205,"&lt;&gt;Final")+COUNTIFS(Recommenders!$G$6:$G$205,A94,Recommenders!$H$6:$H$205,"&lt;&gt;Submitted"))</f>
        <v/>
      </c>
      <c r="K94" s="104"/>
      <c r="L94" s="99"/>
      <c r="M94" s="99"/>
      <c r="N94" s="65"/>
      <c r="O94" s="99"/>
      <c r="P94" s="65"/>
      <c r="Q94" s="78"/>
      <c r="R94" s="78"/>
      <c r="S94" s="78"/>
    </row>
    <row r="95" ht="24.0" customHeight="1">
      <c r="A95" s="78"/>
      <c r="B95" s="78"/>
      <c r="C95" s="97" t="str">
        <f t="array" ref="C95">IF(B95="","",IFERROR(INDEX(Programs!$C$6:$C$205,MATCH(B95,Programs!$A$6:$A$205,0)),""))</f>
        <v/>
      </c>
      <c r="D95" s="97" t="str">
        <f t="array" ref="D95">IF(B95="","",IFERROR(INDEX(Programs!$B$6:$B$205,MATCH(B95,Programs!$A$6:$A$205,0)),""))</f>
        <v/>
      </c>
      <c r="E95" s="99"/>
      <c r="F95" s="99"/>
      <c r="G95" s="78"/>
      <c r="H95" s="74" t="str">
        <f>IF(A95="","",IF(COUNTIFS(Deadlines!$D$6:$D$205,A95,Deadlines!$H$6:$H$205,"&lt;&gt;Completed",Deadlines!$G$6:$G$205,"&lt;&gt;")=0,"",MINIFS(Deadlines!$G$6:$G$205,Deadlines!$D$6:$D$205,A95,Deadlines!$H$6:$H$205,"&lt;&gt;Completed")))</f>
        <v/>
      </c>
      <c r="I95" s="66" t="str">
        <f t="shared" si="1"/>
        <v/>
      </c>
      <c r="J95" s="66" t="str">
        <f>IF(A95="","",COUNTIFS(Tasks!$D$6:$D$205,A95,Tasks!$G$6:$G$205,"&lt;&gt;Done",Tasks!$H$6:$H$205,TRUE)+COUNTIFS(Documents!$K$6:$K$205,A95,Documents!$G$6:$G$205,"&lt;&gt;Ready")+COUNTIFS(Essays!$C$6:$C$205,A95,Essays!$G$6:$G$205,"&lt;&gt;Final")+COUNTIFS(Recommenders!$G$6:$G$205,A95,Recommenders!$H$6:$H$205,"&lt;&gt;Submitted"))</f>
        <v/>
      </c>
      <c r="K95" s="104"/>
      <c r="L95" s="99"/>
      <c r="M95" s="99"/>
      <c r="N95" s="65"/>
      <c r="O95" s="99"/>
      <c r="P95" s="65"/>
      <c r="Q95" s="78"/>
      <c r="R95" s="78"/>
      <c r="S95" s="78"/>
    </row>
    <row r="96" ht="24.0" customHeight="1">
      <c r="A96" s="78"/>
      <c r="B96" s="78"/>
      <c r="C96" s="97" t="str">
        <f t="array" ref="C96">IF(B96="","",IFERROR(INDEX(Programs!$C$6:$C$205,MATCH(B96,Programs!$A$6:$A$205,0)),""))</f>
        <v/>
      </c>
      <c r="D96" s="97" t="str">
        <f t="array" ref="D96">IF(B96="","",IFERROR(INDEX(Programs!$B$6:$B$205,MATCH(B96,Programs!$A$6:$A$205,0)),""))</f>
        <v/>
      </c>
      <c r="E96" s="99"/>
      <c r="F96" s="99"/>
      <c r="G96" s="78"/>
      <c r="H96" s="74" t="str">
        <f>IF(A96="","",IF(COUNTIFS(Deadlines!$D$6:$D$205,A96,Deadlines!$H$6:$H$205,"&lt;&gt;Completed",Deadlines!$G$6:$G$205,"&lt;&gt;")=0,"",MINIFS(Deadlines!$G$6:$G$205,Deadlines!$D$6:$D$205,A96,Deadlines!$H$6:$H$205,"&lt;&gt;Completed")))</f>
        <v/>
      </c>
      <c r="I96" s="66" t="str">
        <f t="shared" si="1"/>
        <v/>
      </c>
      <c r="J96" s="66" t="str">
        <f>IF(A96="","",COUNTIFS(Tasks!$D$6:$D$205,A96,Tasks!$G$6:$G$205,"&lt;&gt;Done",Tasks!$H$6:$H$205,TRUE)+COUNTIFS(Documents!$K$6:$K$205,A96,Documents!$G$6:$G$205,"&lt;&gt;Ready")+COUNTIFS(Essays!$C$6:$C$205,A96,Essays!$G$6:$G$205,"&lt;&gt;Final")+COUNTIFS(Recommenders!$G$6:$G$205,A96,Recommenders!$H$6:$H$205,"&lt;&gt;Submitted"))</f>
        <v/>
      </c>
      <c r="K96" s="104"/>
      <c r="L96" s="99"/>
      <c r="M96" s="99"/>
      <c r="N96" s="65"/>
      <c r="O96" s="99"/>
      <c r="P96" s="65"/>
      <c r="Q96" s="78"/>
      <c r="R96" s="78"/>
      <c r="S96" s="78"/>
    </row>
    <row r="97" ht="24.0" customHeight="1">
      <c r="A97" s="78"/>
      <c r="B97" s="78"/>
      <c r="C97" s="97" t="str">
        <f t="array" ref="C97">IF(B97="","",IFERROR(INDEX(Programs!$C$6:$C$205,MATCH(B97,Programs!$A$6:$A$205,0)),""))</f>
        <v/>
      </c>
      <c r="D97" s="97" t="str">
        <f t="array" ref="D97">IF(B97="","",IFERROR(INDEX(Programs!$B$6:$B$205,MATCH(B97,Programs!$A$6:$A$205,0)),""))</f>
        <v/>
      </c>
      <c r="E97" s="99"/>
      <c r="F97" s="99"/>
      <c r="G97" s="78"/>
      <c r="H97" s="74" t="str">
        <f>IF(A97="","",IF(COUNTIFS(Deadlines!$D$6:$D$205,A97,Deadlines!$H$6:$H$205,"&lt;&gt;Completed",Deadlines!$G$6:$G$205,"&lt;&gt;")=0,"",MINIFS(Deadlines!$G$6:$G$205,Deadlines!$D$6:$D$205,A97,Deadlines!$H$6:$H$205,"&lt;&gt;Completed")))</f>
        <v/>
      </c>
      <c r="I97" s="66" t="str">
        <f t="shared" si="1"/>
        <v/>
      </c>
      <c r="J97" s="66" t="str">
        <f>IF(A97="","",COUNTIFS(Tasks!$D$6:$D$205,A97,Tasks!$G$6:$G$205,"&lt;&gt;Done",Tasks!$H$6:$H$205,TRUE)+COUNTIFS(Documents!$K$6:$K$205,A97,Documents!$G$6:$G$205,"&lt;&gt;Ready")+COUNTIFS(Essays!$C$6:$C$205,A97,Essays!$G$6:$G$205,"&lt;&gt;Final")+COUNTIFS(Recommenders!$G$6:$G$205,A97,Recommenders!$H$6:$H$205,"&lt;&gt;Submitted"))</f>
        <v/>
      </c>
      <c r="K97" s="104"/>
      <c r="L97" s="99"/>
      <c r="M97" s="99"/>
      <c r="N97" s="65"/>
      <c r="O97" s="99"/>
      <c r="P97" s="65"/>
      <c r="Q97" s="78"/>
      <c r="R97" s="78"/>
      <c r="S97" s="78"/>
    </row>
    <row r="98" ht="24.0" customHeight="1">
      <c r="A98" s="78"/>
      <c r="B98" s="78"/>
      <c r="C98" s="97" t="str">
        <f t="array" ref="C98">IF(B98="","",IFERROR(INDEX(Programs!$C$6:$C$205,MATCH(B98,Programs!$A$6:$A$205,0)),""))</f>
        <v/>
      </c>
      <c r="D98" s="97" t="str">
        <f t="array" ref="D98">IF(B98="","",IFERROR(INDEX(Programs!$B$6:$B$205,MATCH(B98,Programs!$A$6:$A$205,0)),""))</f>
        <v/>
      </c>
      <c r="E98" s="99"/>
      <c r="F98" s="99"/>
      <c r="G98" s="78"/>
      <c r="H98" s="74" t="str">
        <f>IF(A98="","",IF(COUNTIFS(Deadlines!$D$6:$D$205,A98,Deadlines!$H$6:$H$205,"&lt;&gt;Completed",Deadlines!$G$6:$G$205,"&lt;&gt;")=0,"",MINIFS(Deadlines!$G$6:$G$205,Deadlines!$D$6:$D$205,A98,Deadlines!$H$6:$H$205,"&lt;&gt;Completed")))</f>
        <v/>
      </c>
      <c r="I98" s="66" t="str">
        <f t="shared" si="1"/>
        <v/>
      </c>
      <c r="J98" s="66" t="str">
        <f>IF(A98="","",COUNTIFS(Tasks!$D$6:$D$205,A98,Tasks!$G$6:$G$205,"&lt;&gt;Done",Tasks!$H$6:$H$205,TRUE)+COUNTIFS(Documents!$K$6:$K$205,A98,Documents!$G$6:$G$205,"&lt;&gt;Ready")+COUNTIFS(Essays!$C$6:$C$205,A98,Essays!$G$6:$G$205,"&lt;&gt;Final")+COUNTIFS(Recommenders!$G$6:$G$205,A98,Recommenders!$H$6:$H$205,"&lt;&gt;Submitted"))</f>
        <v/>
      </c>
      <c r="K98" s="104"/>
      <c r="L98" s="99"/>
      <c r="M98" s="99"/>
      <c r="N98" s="65"/>
      <c r="O98" s="99"/>
      <c r="P98" s="65"/>
      <c r="Q98" s="78"/>
      <c r="R98" s="78"/>
      <c r="S98" s="78"/>
    </row>
    <row r="99" ht="24.0" customHeight="1">
      <c r="A99" s="78"/>
      <c r="B99" s="78"/>
      <c r="C99" s="97" t="str">
        <f t="array" ref="C99">IF(B99="","",IFERROR(INDEX(Programs!$C$6:$C$205,MATCH(B99,Programs!$A$6:$A$205,0)),""))</f>
        <v/>
      </c>
      <c r="D99" s="97" t="str">
        <f t="array" ref="D99">IF(B99="","",IFERROR(INDEX(Programs!$B$6:$B$205,MATCH(B99,Programs!$A$6:$A$205,0)),""))</f>
        <v/>
      </c>
      <c r="E99" s="99"/>
      <c r="F99" s="99"/>
      <c r="G99" s="78"/>
      <c r="H99" s="74" t="str">
        <f>IF(A99="","",IF(COUNTIFS(Deadlines!$D$6:$D$205,A99,Deadlines!$H$6:$H$205,"&lt;&gt;Completed",Deadlines!$G$6:$G$205,"&lt;&gt;")=0,"",MINIFS(Deadlines!$G$6:$G$205,Deadlines!$D$6:$D$205,A99,Deadlines!$H$6:$H$205,"&lt;&gt;Completed")))</f>
        <v/>
      </c>
      <c r="I99" s="66" t="str">
        <f t="shared" si="1"/>
        <v/>
      </c>
      <c r="J99" s="66" t="str">
        <f>IF(A99="","",COUNTIFS(Tasks!$D$6:$D$205,A99,Tasks!$G$6:$G$205,"&lt;&gt;Done",Tasks!$H$6:$H$205,TRUE)+COUNTIFS(Documents!$K$6:$K$205,A99,Documents!$G$6:$G$205,"&lt;&gt;Ready")+COUNTIFS(Essays!$C$6:$C$205,A99,Essays!$G$6:$G$205,"&lt;&gt;Final")+COUNTIFS(Recommenders!$G$6:$G$205,A99,Recommenders!$H$6:$H$205,"&lt;&gt;Submitted"))</f>
        <v/>
      </c>
      <c r="K99" s="104"/>
      <c r="L99" s="99"/>
      <c r="M99" s="99"/>
      <c r="N99" s="65"/>
      <c r="O99" s="99"/>
      <c r="P99" s="65"/>
      <c r="Q99" s="78"/>
      <c r="R99" s="78"/>
      <c r="S99" s="78"/>
    </row>
    <row r="100" ht="24.0" customHeight="1">
      <c r="A100" s="78"/>
      <c r="B100" s="78"/>
      <c r="C100" s="97" t="str">
        <f t="array" ref="C100">IF(B100="","",IFERROR(INDEX(Programs!$C$6:$C$205,MATCH(B100,Programs!$A$6:$A$205,0)),""))</f>
        <v/>
      </c>
      <c r="D100" s="97" t="str">
        <f t="array" ref="D100">IF(B100="","",IFERROR(INDEX(Programs!$B$6:$B$205,MATCH(B100,Programs!$A$6:$A$205,0)),""))</f>
        <v/>
      </c>
      <c r="E100" s="99"/>
      <c r="F100" s="99"/>
      <c r="G100" s="78"/>
      <c r="H100" s="74" t="str">
        <f>IF(A100="","",IF(COUNTIFS(Deadlines!$D$6:$D$205,A100,Deadlines!$H$6:$H$205,"&lt;&gt;Completed",Deadlines!$G$6:$G$205,"&lt;&gt;")=0,"",MINIFS(Deadlines!$G$6:$G$205,Deadlines!$D$6:$D$205,A100,Deadlines!$H$6:$H$205,"&lt;&gt;Completed")))</f>
        <v/>
      </c>
      <c r="I100" s="66" t="str">
        <f t="shared" si="1"/>
        <v/>
      </c>
      <c r="J100" s="66" t="str">
        <f>IF(A100="","",COUNTIFS(Tasks!$D$6:$D$205,A100,Tasks!$G$6:$G$205,"&lt;&gt;Done",Tasks!$H$6:$H$205,TRUE)+COUNTIFS(Documents!$K$6:$K$205,A100,Documents!$G$6:$G$205,"&lt;&gt;Ready")+COUNTIFS(Essays!$C$6:$C$205,A100,Essays!$G$6:$G$205,"&lt;&gt;Final")+COUNTIFS(Recommenders!$G$6:$G$205,A100,Recommenders!$H$6:$H$205,"&lt;&gt;Submitted"))</f>
        <v/>
      </c>
      <c r="K100" s="104"/>
      <c r="L100" s="99"/>
      <c r="M100" s="99"/>
      <c r="N100" s="65"/>
      <c r="O100" s="99"/>
      <c r="P100" s="65"/>
      <c r="Q100" s="78"/>
      <c r="R100" s="78"/>
      <c r="S100" s="78"/>
    </row>
    <row r="101" ht="24.0" customHeight="1">
      <c r="A101" s="78"/>
      <c r="B101" s="78"/>
      <c r="C101" s="97" t="str">
        <f t="array" ref="C101">IF(B101="","",IFERROR(INDEX(Programs!$C$6:$C$205,MATCH(B101,Programs!$A$6:$A$205,0)),""))</f>
        <v/>
      </c>
      <c r="D101" s="97" t="str">
        <f t="array" ref="D101">IF(B101="","",IFERROR(INDEX(Programs!$B$6:$B$205,MATCH(B101,Programs!$A$6:$A$205,0)),""))</f>
        <v/>
      </c>
      <c r="E101" s="99"/>
      <c r="F101" s="99"/>
      <c r="G101" s="78"/>
      <c r="H101" s="74" t="str">
        <f>IF(A101="","",IF(COUNTIFS(Deadlines!$D$6:$D$205,A101,Deadlines!$H$6:$H$205,"&lt;&gt;Completed",Deadlines!$G$6:$G$205,"&lt;&gt;")=0,"",MINIFS(Deadlines!$G$6:$G$205,Deadlines!$D$6:$D$205,A101,Deadlines!$H$6:$H$205,"&lt;&gt;Completed")))</f>
        <v/>
      </c>
      <c r="I101" s="66" t="str">
        <f t="shared" si="1"/>
        <v/>
      </c>
      <c r="J101" s="66" t="str">
        <f>IF(A101="","",COUNTIFS(Tasks!$D$6:$D$205,A101,Tasks!$G$6:$G$205,"&lt;&gt;Done",Tasks!$H$6:$H$205,TRUE)+COUNTIFS(Documents!$K$6:$K$205,A101,Documents!$G$6:$G$205,"&lt;&gt;Ready")+COUNTIFS(Essays!$C$6:$C$205,A101,Essays!$G$6:$G$205,"&lt;&gt;Final")+COUNTIFS(Recommenders!$G$6:$G$205,A101,Recommenders!$H$6:$H$205,"&lt;&gt;Submitted"))</f>
        <v/>
      </c>
      <c r="K101" s="104"/>
      <c r="L101" s="99"/>
      <c r="M101" s="99"/>
      <c r="N101" s="65"/>
      <c r="O101" s="99"/>
      <c r="P101" s="65"/>
      <c r="Q101" s="78"/>
      <c r="R101" s="78"/>
      <c r="S101" s="78"/>
    </row>
    <row r="102" ht="24.0" customHeight="1">
      <c r="A102" s="78"/>
      <c r="B102" s="78"/>
      <c r="C102" s="97" t="str">
        <f t="array" ref="C102">IF(B102="","",IFERROR(INDEX(Programs!$C$6:$C$205,MATCH(B102,Programs!$A$6:$A$205,0)),""))</f>
        <v/>
      </c>
      <c r="D102" s="97" t="str">
        <f t="array" ref="D102">IF(B102="","",IFERROR(INDEX(Programs!$B$6:$B$205,MATCH(B102,Programs!$A$6:$A$205,0)),""))</f>
        <v/>
      </c>
      <c r="E102" s="99"/>
      <c r="F102" s="99"/>
      <c r="G102" s="78"/>
      <c r="H102" s="74" t="str">
        <f>IF(A102="","",IF(COUNTIFS(Deadlines!$D$6:$D$205,A102,Deadlines!$H$6:$H$205,"&lt;&gt;Completed",Deadlines!$G$6:$G$205,"&lt;&gt;")=0,"",MINIFS(Deadlines!$G$6:$G$205,Deadlines!$D$6:$D$205,A102,Deadlines!$H$6:$H$205,"&lt;&gt;Completed")))</f>
        <v/>
      </c>
      <c r="I102" s="66" t="str">
        <f t="shared" si="1"/>
        <v/>
      </c>
      <c r="J102" s="66" t="str">
        <f>IF(A102="","",COUNTIFS(Tasks!$D$6:$D$205,A102,Tasks!$G$6:$G$205,"&lt;&gt;Done",Tasks!$H$6:$H$205,TRUE)+COUNTIFS(Documents!$K$6:$K$205,A102,Documents!$G$6:$G$205,"&lt;&gt;Ready")+COUNTIFS(Essays!$C$6:$C$205,A102,Essays!$G$6:$G$205,"&lt;&gt;Final")+COUNTIFS(Recommenders!$G$6:$G$205,A102,Recommenders!$H$6:$H$205,"&lt;&gt;Submitted"))</f>
        <v/>
      </c>
      <c r="K102" s="104"/>
      <c r="L102" s="99"/>
      <c r="M102" s="99"/>
      <c r="N102" s="65"/>
      <c r="O102" s="99"/>
      <c r="P102" s="65"/>
      <c r="Q102" s="78"/>
      <c r="R102" s="78"/>
      <c r="S102" s="78"/>
    </row>
    <row r="103" ht="24.0" customHeight="1">
      <c r="A103" s="78"/>
      <c r="B103" s="78"/>
      <c r="C103" s="97" t="str">
        <f t="array" ref="C103">IF(B103="","",IFERROR(INDEX(Programs!$C$6:$C$205,MATCH(B103,Programs!$A$6:$A$205,0)),""))</f>
        <v/>
      </c>
      <c r="D103" s="97" t="str">
        <f t="array" ref="D103">IF(B103="","",IFERROR(INDEX(Programs!$B$6:$B$205,MATCH(B103,Programs!$A$6:$A$205,0)),""))</f>
        <v/>
      </c>
      <c r="E103" s="99"/>
      <c r="F103" s="99"/>
      <c r="G103" s="78"/>
      <c r="H103" s="74" t="str">
        <f>IF(A103="","",IF(COUNTIFS(Deadlines!$D$6:$D$205,A103,Deadlines!$H$6:$H$205,"&lt;&gt;Completed",Deadlines!$G$6:$G$205,"&lt;&gt;")=0,"",MINIFS(Deadlines!$G$6:$G$205,Deadlines!$D$6:$D$205,A103,Deadlines!$H$6:$H$205,"&lt;&gt;Completed")))</f>
        <v/>
      </c>
      <c r="I103" s="66" t="str">
        <f t="shared" si="1"/>
        <v/>
      </c>
      <c r="J103" s="66" t="str">
        <f>IF(A103="","",COUNTIFS(Tasks!$D$6:$D$205,A103,Tasks!$G$6:$G$205,"&lt;&gt;Done",Tasks!$H$6:$H$205,TRUE)+COUNTIFS(Documents!$K$6:$K$205,A103,Documents!$G$6:$G$205,"&lt;&gt;Ready")+COUNTIFS(Essays!$C$6:$C$205,A103,Essays!$G$6:$G$205,"&lt;&gt;Final")+COUNTIFS(Recommenders!$G$6:$G$205,A103,Recommenders!$H$6:$H$205,"&lt;&gt;Submitted"))</f>
        <v/>
      </c>
      <c r="K103" s="104"/>
      <c r="L103" s="99"/>
      <c r="M103" s="99"/>
      <c r="N103" s="65"/>
      <c r="O103" s="99"/>
      <c r="P103" s="65"/>
      <c r="Q103" s="78"/>
      <c r="R103" s="78"/>
      <c r="S103" s="78"/>
    </row>
    <row r="104" ht="24.0" customHeight="1">
      <c r="A104" s="78"/>
      <c r="B104" s="78"/>
      <c r="C104" s="97" t="str">
        <f t="array" ref="C104">IF(B104="","",IFERROR(INDEX(Programs!$C$6:$C$205,MATCH(B104,Programs!$A$6:$A$205,0)),""))</f>
        <v/>
      </c>
      <c r="D104" s="97" t="str">
        <f t="array" ref="D104">IF(B104="","",IFERROR(INDEX(Programs!$B$6:$B$205,MATCH(B104,Programs!$A$6:$A$205,0)),""))</f>
        <v/>
      </c>
      <c r="E104" s="99"/>
      <c r="F104" s="99"/>
      <c r="G104" s="78"/>
      <c r="H104" s="74" t="str">
        <f>IF(A104="","",IF(COUNTIFS(Deadlines!$D$6:$D$205,A104,Deadlines!$H$6:$H$205,"&lt;&gt;Completed",Deadlines!$G$6:$G$205,"&lt;&gt;")=0,"",MINIFS(Deadlines!$G$6:$G$205,Deadlines!$D$6:$D$205,A104,Deadlines!$H$6:$H$205,"&lt;&gt;Completed")))</f>
        <v/>
      </c>
      <c r="I104" s="66" t="str">
        <f t="shared" si="1"/>
        <v/>
      </c>
      <c r="J104" s="66" t="str">
        <f>IF(A104="","",COUNTIFS(Tasks!$D$6:$D$205,A104,Tasks!$G$6:$G$205,"&lt;&gt;Done",Tasks!$H$6:$H$205,TRUE)+COUNTIFS(Documents!$K$6:$K$205,A104,Documents!$G$6:$G$205,"&lt;&gt;Ready")+COUNTIFS(Essays!$C$6:$C$205,A104,Essays!$G$6:$G$205,"&lt;&gt;Final")+COUNTIFS(Recommenders!$G$6:$G$205,A104,Recommenders!$H$6:$H$205,"&lt;&gt;Submitted"))</f>
        <v/>
      </c>
      <c r="K104" s="104"/>
      <c r="L104" s="99"/>
      <c r="M104" s="99"/>
      <c r="N104" s="65"/>
      <c r="O104" s="99"/>
      <c r="P104" s="65"/>
      <c r="Q104" s="78"/>
      <c r="R104" s="78"/>
      <c r="S104" s="78"/>
    </row>
    <row r="105" ht="24.0" customHeight="1">
      <c r="A105" s="78"/>
      <c r="B105" s="78"/>
      <c r="C105" s="97" t="str">
        <f t="array" ref="C105">IF(B105="","",IFERROR(INDEX(Programs!$C$6:$C$205,MATCH(B105,Programs!$A$6:$A$205,0)),""))</f>
        <v/>
      </c>
      <c r="D105" s="97" t="str">
        <f t="array" ref="D105">IF(B105="","",IFERROR(INDEX(Programs!$B$6:$B$205,MATCH(B105,Programs!$A$6:$A$205,0)),""))</f>
        <v/>
      </c>
      <c r="E105" s="99"/>
      <c r="F105" s="99"/>
      <c r="G105" s="78"/>
      <c r="H105" s="74" t="str">
        <f>IF(A105="","",IF(COUNTIFS(Deadlines!$D$6:$D$205,A105,Deadlines!$H$6:$H$205,"&lt;&gt;Completed",Deadlines!$G$6:$G$205,"&lt;&gt;")=0,"",MINIFS(Deadlines!$G$6:$G$205,Deadlines!$D$6:$D$205,A105,Deadlines!$H$6:$H$205,"&lt;&gt;Completed")))</f>
        <v/>
      </c>
      <c r="I105" s="66" t="str">
        <f t="shared" si="1"/>
        <v/>
      </c>
      <c r="J105" s="66" t="str">
        <f>IF(A105="","",COUNTIFS(Tasks!$D$6:$D$205,A105,Tasks!$G$6:$G$205,"&lt;&gt;Done",Tasks!$H$6:$H$205,TRUE)+COUNTIFS(Documents!$K$6:$K$205,A105,Documents!$G$6:$G$205,"&lt;&gt;Ready")+COUNTIFS(Essays!$C$6:$C$205,A105,Essays!$G$6:$G$205,"&lt;&gt;Final")+COUNTIFS(Recommenders!$G$6:$G$205,A105,Recommenders!$H$6:$H$205,"&lt;&gt;Submitted"))</f>
        <v/>
      </c>
      <c r="K105" s="104"/>
      <c r="L105" s="99"/>
      <c r="M105" s="99"/>
      <c r="N105" s="65"/>
      <c r="O105" s="99"/>
      <c r="P105" s="65"/>
      <c r="Q105" s="78"/>
      <c r="R105" s="78"/>
      <c r="S105" s="78"/>
    </row>
    <row r="106" ht="24.0" customHeight="1">
      <c r="A106" s="78"/>
      <c r="B106" s="78"/>
      <c r="C106" s="97" t="str">
        <f t="array" ref="C106">IF(B106="","",IFERROR(INDEX(Programs!$C$6:$C$205,MATCH(B106,Programs!$A$6:$A$205,0)),""))</f>
        <v/>
      </c>
      <c r="D106" s="97" t="str">
        <f t="array" ref="D106">IF(B106="","",IFERROR(INDEX(Programs!$B$6:$B$205,MATCH(B106,Programs!$A$6:$A$205,0)),""))</f>
        <v/>
      </c>
      <c r="E106" s="99"/>
      <c r="F106" s="99"/>
      <c r="G106" s="78"/>
      <c r="H106" s="74" t="str">
        <f>IF(A106="","",IF(COUNTIFS(Deadlines!$D$6:$D$205,A106,Deadlines!$H$6:$H$205,"&lt;&gt;Completed",Deadlines!$G$6:$G$205,"&lt;&gt;")=0,"",MINIFS(Deadlines!$G$6:$G$205,Deadlines!$D$6:$D$205,A106,Deadlines!$H$6:$H$205,"&lt;&gt;Completed")))</f>
        <v/>
      </c>
      <c r="I106" s="66" t="str">
        <f t="shared" si="1"/>
        <v/>
      </c>
      <c r="J106" s="66" t="str">
        <f>IF(A106="","",COUNTIFS(Tasks!$D$6:$D$205,A106,Tasks!$G$6:$G$205,"&lt;&gt;Done",Tasks!$H$6:$H$205,TRUE)+COUNTIFS(Documents!$K$6:$K$205,A106,Documents!$G$6:$G$205,"&lt;&gt;Ready")+COUNTIFS(Essays!$C$6:$C$205,A106,Essays!$G$6:$G$205,"&lt;&gt;Final")+COUNTIFS(Recommenders!$G$6:$G$205,A106,Recommenders!$H$6:$H$205,"&lt;&gt;Submitted"))</f>
        <v/>
      </c>
      <c r="K106" s="104"/>
      <c r="L106" s="99"/>
      <c r="M106" s="99"/>
      <c r="N106" s="65"/>
      <c r="O106" s="99"/>
      <c r="P106" s="65"/>
      <c r="Q106" s="78"/>
      <c r="R106" s="78"/>
      <c r="S106" s="78"/>
    </row>
    <row r="107" ht="24.0" customHeight="1">
      <c r="A107" s="78"/>
      <c r="B107" s="78"/>
      <c r="C107" s="97" t="str">
        <f t="array" ref="C107">IF(B107="","",IFERROR(INDEX(Programs!$C$6:$C$205,MATCH(B107,Programs!$A$6:$A$205,0)),""))</f>
        <v/>
      </c>
      <c r="D107" s="97" t="str">
        <f t="array" ref="D107">IF(B107="","",IFERROR(INDEX(Programs!$B$6:$B$205,MATCH(B107,Programs!$A$6:$A$205,0)),""))</f>
        <v/>
      </c>
      <c r="E107" s="99"/>
      <c r="F107" s="99"/>
      <c r="G107" s="78"/>
      <c r="H107" s="74" t="str">
        <f>IF(A107="","",IF(COUNTIFS(Deadlines!$D$6:$D$205,A107,Deadlines!$H$6:$H$205,"&lt;&gt;Completed",Deadlines!$G$6:$G$205,"&lt;&gt;")=0,"",MINIFS(Deadlines!$G$6:$G$205,Deadlines!$D$6:$D$205,A107,Deadlines!$H$6:$H$205,"&lt;&gt;Completed")))</f>
        <v/>
      </c>
      <c r="I107" s="66" t="str">
        <f t="shared" si="1"/>
        <v/>
      </c>
      <c r="J107" s="66" t="str">
        <f>IF(A107="","",COUNTIFS(Tasks!$D$6:$D$205,A107,Tasks!$G$6:$G$205,"&lt;&gt;Done",Tasks!$H$6:$H$205,TRUE)+COUNTIFS(Documents!$K$6:$K$205,A107,Documents!$G$6:$G$205,"&lt;&gt;Ready")+COUNTIFS(Essays!$C$6:$C$205,A107,Essays!$G$6:$G$205,"&lt;&gt;Final")+COUNTIFS(Recommenders!$G$6:$G$205,A107,Recommenders!$H$6:$H$205,"&lt;&gt;Submitted"))</f>
        <v/>
      </c>
      <c r="K107" s="104"/>
      <c r="L107" s="99"/>
      <c r="M107" s="99"/>
      <c r="N107" s="65"/>
      <c r="O107" s="99"/>
      <c r="P107" s="65"/>
      <c r="Q107" s="78"/>
      <c r="R107" s="78"/>
      <c r="S107" s="78"/>
    </row>
    <row r="108" ht="24.0" customHeight="1">
      <c r="A108" s="78"/>
      <c r="B108" s="78"/>
      <c r="C108" s="97" t="str">
        <f t="array" ref="C108">IF(B108="","",IFERROR(INDEX(Programs!$C$6:$C$205,MATCH(B108,Programs!$A$6:$A$205,0)),""))</f>
        <v/>
      </c>
      <c r="D108" s="97" t="str">
        <f t="array" ref="D108">IF(B108="","",IFERROR(INDEX(Programs!$B$6:$B$205,MATCH(B108,Programs!$A$6:$A$205,0)),""))</f>
        <v/>
      </c>
      <c r="E108" s="99"/>
      <c r="F108" s="99"/>
      <c r="G108" s="78"/>
      <c r="H108" s="74" t="str">
        <f>IF(A108="","",IF(COUNTIFS(Deadlines!$D$6:$D$205,A108,Deadlines!$H$6:$H$205,"&lt;&gt;Completed",Deadlines!$G$6:$G$205,"&lt;&gt;")=0,"",MINIFS(Deadlines!$G$6:$G$205,Deadlines!$D$6:$D$205,A108,Deadlines!$H$6:$H$205,"&lt;&gt;Completed")))</f>
        <v/>
      </c>
      <c r="I108" s="66" t="str">
        <f t="shared" si="1"/>
        <v/>
      </c>
      <c r="J108" s="66" t="str">
        <f>IF(A108="","",COUNTIFS(Tasks!$D$6:$D$205,A108,Tasks!$G$6:$G$205,"&lt;&gt;Done",Tasks!$H$6:$H$205,TRUE)+COUNTIFS(Documents!$K$6:$K$205,A108,Documents!$G$6:$G$205,"&lt;&gt;Ready")+COUNTIFS(Essays!$C$6:$C$205,A108,Essays!$G$6:$G$205,"&lt;&gt;Final")+COUNTIFS(Recommenders!$G$6:$G$205,A108,Recommenders!$H$6:$H$205,"&lt;&gt;Submitted"))</f>
        <v/>
      </c>
      <c r="K108" s="104"/>
      <c r="L108" s="99"/>
      <c r="M108" s="99"/>
      <c r="N108" s="65"/>
      <c r="O108" s="99"/>
      <c r="P108" s="65"/>
      <c r="Q108" s="78"/>
      <c r="R108" s="78"/>
      <c r="S108" s="78"/>
    </row>
    <row r="109" ht="24.0" customHeight="1">
      <c r="A109" s="78"/>
      <c r="B109" s="78"/>
      <c r="C109" s="97" t="str">
        <f t="array" ref="C109">IF(B109="","",IFERROR(INDEX(Programs!$C$6:$C$205,MATCH(B109,Programs!$A$6:$A$205,0)),""))</f>
        <v/>
      </c>
      <c r="D109" s="97" t="str">
        <f t="array" ref="D109">IF(B109="","",IFERROR(INDEX(Programs!$B$6:$B$205,MATCH(B109,Programs!$A$6:$A$205,0)),""))</f>
        <v/>
      </c>
      <c r="E109" s="99"/>
      <c r="F109" s="99"/>
      <c r="G109" s="78"/>
      <c r="H109" s="74" t="str">
        <f>IF(A109="","",IF(COUNTIFS(Deadlines!$D$6:$D$205,A109,Deadlines!$H$6:$H$205,"&lt;&gt;Completed",Deadlines!$G$6:$G$205,"&lt;&gt;")=0,"",MINIFS(Deadlines!$G$6:$G$205,Deadlines!$D$6:$D$205,A109,Deadlines!$H$6:$H$205,"&lt;&gt;Completed")))</f>
        <v/>
      </c>
      <c r="I109" s="66" t="str">
        <f t="shared" si="1"/>
        <v/>
      </c>
      <c r="J109" s="66" t="str">
        <f>IF(A109="","",COUNTIFS(Tasks!$D$6:$D$205,A109,Tasks!$G$6:$G$205,"&lt;&gt;Done",Tasks!$H$6:$H$205,TRUE)+COUNTIFS(Documents!$K$6:$K$205,A109,Documents!$G$6:$G$205,"&lt;&gt;Ready")+COUNTIFS(Essays!$C$6:$C$205,A109,Essays!$G$6:$G$205,"&lt;&gt;Final")+COUNTIFS(Recommenders!$G$6:$G$205,A109,Recommenders!$H$6:$H$205,"&lt;&gt;Submitted"))</f>
        <v/>
      </c>
      <c r="K109" s="104"/>
      <c r="L109" s="99"/>
      <c r="M109" s="99"/>
      <c r="N109" s="65"/>
      <c r="O109" s="99"/>
      <c r="P109" s="65"/>
      <c r="Q109" s="78"/>
      <c r="R109" s="78"/>
      <c r="S109" s="78"/>
    </row>
    <row r="110" ht="24.0" customHeight="1">
      <c r="A110" s="78"/>
      <c r="B110" s="78"/>
      <c r="C110" s="97" t="str">
        <f t="array" ref="C110">IF(B110="","",IFERROR(INDEX(Programs!$C$6:$C$205,MATCH(B110,Programs!$A$6:$A$205,0)),""))</f>
        <v/>
      </c>
      <c r="D110" s="97" t="str">
        <f t="array" ref="D110">IF(B110="","",IFERROR(INDEX(Programs!$B$6:$B$205,MATCH(B110,Programs!$A$6:$A$205,0)),""))</f>
        <v/>
      </c>
      <c r="E110" s="99"/>
      <c r="F110" s="99"/>
      <c r="G110" s="78"/>
      <c r="H110" s="74" t="str">
        <f>IF(A110="","",IF(COUNTIFS(Deadlines!$D$6:$D$205,A110,Deadlines!$H$6:$H$205,"&lt;&gt;Completed",Deadlines!$G$6:$G$205,"&lt;&gt;")=0,"",MINIFS(Deadlines!$G$6:$G$205,Deadlines!$D$6:$D$205,A110,Deadlines!$H$6:$H$205,"&lt;&gt;Completed")))</f>
        <v/>
      </c>
      <c r="I110" s="66" t="str">
        <f t="shared" si="1"/>
        <v/>
      </c>
      <c r="J110" s="66" t="str">
        <f>IF(A110="","",COUNTIFS(Tasks!$D$6:$D$205,A110,Tasks!$G$6:$G$205,"&lt;&gt;Done",Tasks!$H$6:$H$205,TRUE)+COUNTIFS(Documents!$K$6:$K$205,A110,Documents!$G$6:$G$205,"&lt;&gt;Ready")+COUNTIFS(Essays!$C$6:$C$205,A110,Essays!$G$6:$G$205,"&lt;&gt;Final")+COUNTIFS(Recommenders!$G$6:$G$205,A110,Recommenders!$H$6:$H$205,"&lt;&gt;Submitted"))</f>
        <v/>
      </c>
      <c r="K110" s="104"/>
      <c r="L110" s="99"/>
      <c r="M110" s="99"/>
      <c r="N110" s="65"/>
      <c r="O110" s="99"/>
      <c r="P110" s="65"/>
      <c r="Q110" s="78"/>
      <c r="R110" s="78"/>
      <c r="S110" s="78"/>
    </row>
    <row r="111" ht="24.0" customHeight="1">
      <c r="A111" s="78"/>
      <c r="B111" s="78"/>
      <c r="C111" s="97" t="str">
        <f t="array" ref="C111">IF(B111="","",IFERROR(INDEX(Programs!$C$6:$C$205,MATCH(B111,Programs!$A$6:$A$205,0)),""))</f>
        <v/>
      </c>
      <c r="D111" s="97" t="str">
        <f t="array" ref="D111">IF(B111="","",IFERROR(INDEX(Programs!$B$6:$B$205,MATCH(B111,Programs!$A$6:$A$205,0)),""))</f>
        <v/>
      </c>
      <c r="E111" s="99"/>
      <c r="F111" s="99"/>
      <c r="G111" s="78"/>
      <c r="H111" s="74" t="str">
        <f>IF(A111="","",IF(COUNTIFS(Deadlines!$D$6:$D$205,A111,Deadlines!$H$6:$H$205,"&lt;&gt;Completed",Deadlines!$G$6:$G$205,"&lt;&gt;")=0,"",MINIFS(Deadlines!$G$6:$G$205,Deadlines!$D$6:$D$205,A111,Deadlines!$H$6:$H$205,"&lt;&gt;Completed")))</f>
        <v/>
      </c>
      <c r="I111" s="66" t="str">
        <f t="shared" si="1"/>
        <v/>
      </c>
      <c r="J111" s="66" t="str">
        <f>IF(A111="","",COUNTIFS(Tasks!$D$6:$D$205,A111,Tasks!$G$6:$G$205,"&lt;&gt;Done",Tasks!$H$6:$H$205,TRUE)+COUNTIFS(Documents!$K$6:$K$205,A111,Documents!$G$6:$G$205,"&lt;&gt;Ready")+COUNTIFS(Essays!$C$6:$C$205,A111,Essays!$G$6:$G$205,"&lt;&gt;Final")+COUNTIFS(Recommenders!$G$6:$G$205,A111,Recommenders!$H$6:$H$205,"&lt;&gt;Submitted"))</f>
        <v/>
      </c>
      <c r="K111" s="104"/>
      <c r="L111" s="99"/>
      <c r="M111" s="99"/>
      <c r="N111" s="65"/>
      <c r="O111" s="99"/>
      <c r="P111" s="65"/>
      <c r="Q111" s="78"/>
      <c r="R111" s="78"/>
      <c r="S111" s="78"/>
    </row>
    <row r="112" ht="24.0" customHeight="1">
      <c r="A112" s="78"/>
      <c r="B112" s="78"/>
      <c r="C112" s="97" t="str">
        <f t="array" ref="C112">IF(B112="","",IFERROR(INDEX(Programs!$C$6:$C$205,MATCH(B112,Programs!$A$6:$A$205,0)),""))</f>
        <v/>
      </c>
      <c r="D112" s="97" t="str">
        <f t="array" ref="D112">IF(B112="","",IFERROR(INDEX(Programs!$B$6:$B$205,MATCH(B112,Programs!$A$6:$A$205,0)),""))</f>
        <v/>
      </c>
      <c r="E112" s="99"/>
      <c r="F112" s="99"/>
      <c r="G112" s="78"/>
      <c r="H112" s="74" t="str">
        <f>IF(A112="","",IF(COUNTIFS(Deadlines!$D$6:$D$205,A112,Deadlines!$H$6:$H$205,"&lt;&gt;Completed",Deadlines!$G$6:$G$205,"&lt;&gt;")=0,"",MINIFS(Deadlines!$G$6:$G$205,Deadlines!$D$6:$D$205,A112,Deadlines!$H$6:$H$205,"&lt;&gt;Completed")))</f>
        <v/>
      </c>
      <c r="I112" s="66" t="str">
        <f t="shared" si="1"/>
        <v/>
      </c>
      <c r="J112" s="66" t="str">
        <f>IF(A112="","",COUNTIFS(Tasks!$D$6:$D$205,A112,Tasks!$G$6:$G$205,"&lt;&gt;Done",Tasks!$H$6:$H$205,TRUE)+COUNTIFS(Documents!$K$6:$K$205,A112,Documents!$G$6:$G$205,"&lt;&gt;Ready")+COUNTIFS(Essays!$C$6:$C$205,A112,Essays!$G$6:$G$205,"&lt;&gt;Final")+COUNTIFS(Recommenders!$G$6:$G$205,A112,Recommenders!$H$6:$H$205,"&lt;&gt;Submitted"))</f>
        <v/>
      </c>
      <c r="K112" s="104"/>
      <c r="L112" s="99"/>
      <c r="M112" s="99"/>
      <c r="N112" s="65"/>
      <c r="O112" s="99"/>
      <c r="P112" s="65"/>
      <c r="Q112" s="78"/>
      <c r="R112" s="78"/>
      <c r="S112" s="78"/>
    </row>
    <row r="113" ht="24.0" customHeight="1">
      <c r="A113" s="78"/>
      <c r="B113" s="78"/>
      <c r="C113" s="97" t="str">
        <f t="array" ref="C113">IF(B113="","",IFERROR(INDEX(Programs!$C$6:$C$205,MATCH(B113,Programs!$A$6:$A$205,0)),""))</f>
        <v/>
      </c>
      <c r="D113" s="97" t="str">
        <f t="array" ref="D113">IF(B113="","",IFERROR(INDEX(Programs!$B$6:$B$205,MATCH(B113,Programs!$A$6:$A$205,0)),""))</f>
        <v/>
      </c>
      <c r="E113" s="99"/>
      <c r="F113" s="99"/>
      <c r="G113" s="78"/>
      <c r="H113" s="74" t="str">
        <f>IF(A113="","",IF(COUNTIFS(Deadlines!$D$6:$D$205,A113,Deadlines!$H$6:$H$205,"&lt;&gt;Completed",Deadlines!$G$6:$G$205,"&lt;&gt;")=0,"",MINIFS(Deadlines!$G$6:$G$205,Deadlines!$D$6:$D$205,A113,Deadlines!$H$6:$H$205,"&lt;&gt;Completed")))</f>
        <v/>
      </c>
      <c r="I113" s="66" t="str">
        <f t="shared" si="1"/>
        <v/>
      </c>
      <c r="J113" s="66" t="str">
        <f>IF(A113="","",COUNTIFS(Tasks!$D$6:$D$205,A113,Tasks!$G$6:$G$205,"&lt;&gt;Done",Tasks!$H$6:$H$205,TRUE)+COUNTIFS(Documents!$K$6:$K$205,A113,Documents!$G$6:$G$205,"&lt;&gt;Ready")+COUNTIFS(Essays!$C$6:$C$205,A113,Essays!$G$6:$G$205,"&lt;&gt;Final")+COUNTIFS(Recommenders!$G$6:$G$205,A113,Recommenders!$H$6:$H$205,"&lt;&gt;Submitted"))</f>
        <v/>
      </c>
      <c r="K113" s="104"/>
      <c r="L113" s="99"/>
      <c r="M113" s="99"/>
      <c r="N113" s="65"/>
      <c r="O113" s="99"/>
      <c r="P113" s="65"/>
      <c r="Q113" s="78"/>
      <c r="R113" s="78"/>
      <c r="S113" s="78"/>
    </row>
    <row r="114" ht="24.0" customHeight="1">
      <c r="A114" s="78"/>
      <c r="B114" s="78"/>
      <c r="C114" s="97" t="str">
        <f t="array" ref="C114">IF(B114="","",IFERROR(INDEX(Programs!$C$6:$C$205,MATCH(B114,Programs!$A$6:$A$205,0)),""))</f>
        <v/>
      </c>
      <c r="D114" s="97" t="str">
        <f t="array" ref="D114">IF(B114="","",IFERROR(INDEX(Programs!$B$6:$B$205,MATCH(B114,Programs!$A$6:$A$205,0)),""))</f>
        <v/>
      </c>
      <c r="E114" s="99"/>
      <c r="F114" s="99"/>
      <c r="G114" s="78"/>
      <c r="H114" s="74" t="str">
        <f>IF(A114="","",IF(COUNTIFS(Deadlines!$D$6:$D$205,A114,Deadlines!$H$6:$H$205,"&lt;&gt;Completed",Deadlines!$G$6:$G$205,"&lt;&gt;")=0,"",MINIFS(Deadlines!$G$6:$G$205,Deadlines!$D$6:$D$205,A114,Deadlines!$H$6:$H$205,"&lt;&gt;Completed")))</f>
        <v/>
      </c>
      <c r="I114" s="66" t="str">
        <f t="shared" si="1"/>
        <v/>
      </c>
      <c r="J114" s="66" t="str">
        <f>IF(A114="","",COUNTIFS(Tasks!$D$6:$D$205,A114,Tasks!$G$6:$G$205,"&lt;&gt;Done",Tasks!$H$6:$H$205,TRUE)+COUNTIFS(Documents!$K$6:$K$205,A114,Documents!$G$6:$G$205,"&lt;&gt;Ready")+COUNTIFS(Essays!$C$6:$C$205,A114,Essays!$G$6:$G$205,"&lt;&gt;Final")+COUNTIFS(Recommenders!$G$6:$G$205,A114,Recommenders!$H$6:$H$205,"&lt;&gt;Submitted"))</f>
        <v/>
      </c>
      <c r="K114" s="104"/>
      <c r="L114" s="99"/>
      <c r="M114" s="99"/>
      <c r="N114" s="65"/>
      <c r="O114" s="99"/>
      <c r="P114" s="65"/>
      <c r="Q114" s="78"/>
      <c r="R114" s="78"/>
      <c r="S114" s="78"/>
    </row>
    <row r="115" ht="24.0" customHeight="1">
      <c r="A115" s="78"/>
      <c r="B115" s="78"/>
      <c r="C115" s="97" t="str">
        <f t="array" ref="C115">IF(B115="","",IFERROR(INDEX(Programs!$C$6:$C$205,MATCH(B115,Programs!$A$6:$A$205,0)),""))</f>
        <v/>
      </c>
      <c r="D115" s="97" t="str">
        <f t="array" ref="D115">IF(B115="","",IFERROR(INDEX(Programs!$B$6:$B$205,MATCH(B115,Programs!$A$6:$A$205,0)),""))</f>
        <v/>
      </c>
      <c r="E115" s="99"/>
      <c r="F115" s="99"/>
      <c r="G115" s="78"/>
      <c r="H115" s="74" t="str">
        <f>IF(A115="","",IF(COUNTIFS(Deadlines!$D$6:$D$205,A115,Deadlines!$H$6:$H$205,"&lt;&gt;Completed",Deadlines!$G$6:$G$205,"&lt;&gt;")=0,"",MINIFS(Deadlines!$G$6:$G$205,Deadlines!$D$6:$D$205,A115,Deadlines!$H$6:$H$205,"&lt;&gt;Completed")))</f>
        <v/>
      </c>
      <c r="I115" s="66" t="str">
        <f t="shared" si="1"/>
        <v/>
      </c>
      <c r="J115" s="66" t="str">
        <f>IF(A115="","",COUNTIFS(Tasks!$D$6:$D$205,A115,Tasks!$G$6:$G$205,"&lt;&gt;Done",Tasks!$H$6:$H$205,TRUE)+COUNTIFS(Documents!$K$6:$K$205,A115,Documents!$G$6:$G$205,"&lt;&gt;Ready")+COUNTIFS(Essays!$C$6:$C$205,A115,Essays!$G$6:$G$205,"&lt;&gt;Final")+COUNTIFS(Recommenders!$G$6:$G$205,A115,Recommenders!$H$6:$H$205,"&lt;&gt;Submitted"))</f>
        <v/>
      </c>
      <c r="K115" s="104"/>
      <c r="L115" s="99"/>
      <c r="M115" s="99"/>
      <c r="N115" s="65"/>
      <c r="O115" s="99"/>
      <c r="P115" s="65"/>
      <c r="Q115" s="78"/>
      <c r="R115" s="78"/>
      <c r="S115" s="78"/>
    </row>
    <row r="116" ht="24.0" customHeight="1">
      <c r="A116" s="78"/>
      <c r="B116" s="78"/>
      <c r="C116" s="97" t="str">
        <f t="array" ref="C116">IF(B116="","",IFERROR(INDEX(Programs!$C$6:$C$205,MATCH(B116,Programs!$A$6:$A$205,0)),""))</f>
        <v/>
      </c>
      <c r="D116" s="97" t="str">
        <f t="array" ref="D116">IF(B116="","",IFERROR(INDEX(Programs!$B$6:$B$205,MATCH(B116,Programs!$A$6:$A$205,0)),""))</f>
        <v/>
      </c>
      <c r="E116" s="99"/>
      <c r="F116" s="99"/>
      <c r="G116" s="78"/>
      <c r="H116" s="74" t="str">
        <f>IF(A116="","",IF(COUNTIFS(Deadlines!$D$6:$D$205,A116,Deadlines!$H$6:$H$205,"&lt;&gt;Completed",Deadlines!$G$6:$G$205,"&lt;&gt;")=0,"",MINIFS(Deadlines!$G$6:$G$205,Deadlines!$D$6:$D$205,A116,Deadlines!$H$6:$H$205,"&lt;&gt;Completed")))</f>
        <v/>
      </c>
      <c r="I116" s="66" t="str">
        <f t="shared" si="1"/>
        <v/>
      </c>
      <c r="J116" s="66" t="str">
        <f>IF(A116="","",COUNTIFS(Tasks!$D$6:$D$205,A116,Tasks!$G$6:$G$205,"&lt;&gt;Done",Tasks!$H$6:$H$205,TRUE)+COUNTIFS(Documents!$K$6:$K$205,A116,Documents!$G$6:$G$205,"&lt;&gt;Ready")+COUNTIFS(Essays!$C$6:$C$205,A116,Essays!$G$6:$G$205,"&lt;&gt;Final")+COUNTIFS(Recommenders!$G$6:$G$205,A116,Recommenders!$H$6:$H$205,"&lt;&gt;Submitted"))</f>
        <v/>
      </c>
      <c r="K116" s="104"/>
      <c r="L116" s="99"/>
      <c r="M116" s="99"/>
      <c r="N116" s="65"/>
      <c r="O116" s="99"/>
      <c r="P116" s="65"/>
      <c r="Q116" s="78"/>
      <c r="R116" s="78"/>
      <c r="S116" s="78"/>
    </row>
    <row r="117" ht="24.0" customHeight="1">
      <c r="A117" s="78"/>
      <c r="B117" s="78"/>
      <c r="C117" s="97" t="str">
        <f t="array" ref="C117">IF(B117="","",IFERROR(INDEX(Programs!$C$6:$C$205,MATCH(B117,Programs!$A$6:$A$205,0)),""))</f>
        <v/>
      </c>
      <c r="D117" s="97" t="str">
        <f t="array" ref="D117">IF(B117="","",IFERROR(INDEX(Programs!$B$6:$B$205,MATCH(B117,Programs!$A$6:$A$205,0)),""))</f>
        <v/>
      </c>
      <c r="E117" s="99"/>
      <c r="F117" s="99"/>
      <c r="G117" s="78"/>
      <c r="H117" s="74" t="str">
        <f>IF(A117="","",IF(COUNTIFS(Deadlines!$D$6:$D$205,A117,Deadlines!$H$6:$H$205,"&lt;&gt;Completed",Deadlines!$G$6:$G$205,"&lt;&gt;")=0,"",MINIFS(Deadlines!$G$6:$G$205,Deadlines!$D$6:$D$205,A117,Deadlines!$H$6:$H$205,"&lt;&gt;Completed")))</f>
        <v/>
      </c>
      <c r="I117" s="66" t="str">
        <f t="shared" si="1"/>
        <v/>
      </c>
      <c r="J117" s="66" t="str">
        <f>IF(A117="","",COUNTIFS(Tasks!$D$6:$D$205,A117,Tasks!$G$6:$G$205,"&lt;&gt;Done",Tasks!$H$6:$H$205,TRUE)+COUNTIFS(Documents!$K$6:$K$205,A117,Documents!$G$6:$G$205,"&lt;&gt;Ready")+COUNTIFS(Essays!$C$6:$C$205,A117,Essays!$G$6:$G$205,"&lt;&gt;Final")+COUNTIFS(Recommenders!$G$6:$G$205,A117,Recommenders!$H$6:$H$205,"&lt;&gt;Submitted"))</f>
        <v/>
      </c>
      <c r="K117" s="104"/>
      <c r="L117" s="99"/>
      <c r="M117" s="99"/>
      <c r="N117" s="65"/>
      <c r="O117" s="99"/>
      <c r="P117" s="65"/>
      <c r="Q117" s="78"/>
      <c r="R117" s="78"/>
      <c r="S117" s="78"/>
    </row>
    <row r="118" ht="24.0" customHeight="1">
      <c r="A118" s="78"/>
      <c r="B118" s="78"/>
      <c r="C118" s="97" t="str">
        <f t="array" ref="C118">IF(B118="","",IFERROR(INDEX(Programs!$C$6:$C$205,MATCH(B118,Programs!$A$6:$A$205,0)),""))</f>
        <v/>
      </c>
      <c r="D118" s="97" t="str">
        <f t="array" ref="D118">IF(B118="","",IFERROR(INDEX(Programs!$B$6:$B$205,MATCH(B118,Programs!$A$6:$A$205,0)),""))</f>
        <v/>
      </c>
      <c r="E118" s="99"/>
      <c r="F118" s="99"/>
      <c r="G118" s="78"/>
      <c r="H118" s="74" t="str">
        <f>IF(A118="","",IF(COUNTIFS(Deadlines!$D$6:$D$205,A118,Deadlines!$H$6:$H$205,"&lt;&gt;Completed",Deadlines!$G$6:$G$205,"&lt;&gt;")=0,"",MINIFS(Deadlines!$G$6:$G$205,Deadlines!$D$6:$D$205,A118,Deadlines!$H$6:$H$205,"&lt;&gt;Completed")))</f>
        <v/>
      </c>
      <c r="I118" s="66" t="str">
        <f t="shared" si="1"/>
        <v/>
      </c>
      <c r="J118" s="66" t="str">
        <f>IF(A118="","",COUNTIFS(Tasks!$D$6:$D$205,A118,Tasks!$G$6:$G$205,"&lt;&gt;Done",Tasks!$H$6:$H$205,TRUE)+COUNTIFS(Documents!$K$6:$K$205,A118,Documents!$G$6:$G$205,"&lt;&gt;Ready")+COUNTIFS(Essays!$C$6:$C$205,A118,Essays!$G$6:$G$205,"&lt;&gt;Final")+COUNTIFS(Recommenders!$G$6:$G$205,A118,Recommenders!$H$6:$H$205,"&lt;&gt;Submitted"))</f>
        <v/>
      </c>
      <c r="K118" s="104"/>
      <c r="L118" s="99"/>
      <c r="M118" s="99"/>
      <c r="N118" s="65"/>
      <c r="O118" s="99"/>
      <c r="P118" s="65"/>
      <c r="Q118" s="78"/>
      <c r="R118" s="78"/>
      <c r="S118" s="78"/>
    </row>
    <row r="119" ht="24.0" customHeight="1">
      <c r="A119" s="78"/>
      <c r="B119" s="78"/>
      <c r="C119" s="97" t="str">
        <f t="array" ref="C119">IF(B119="","",IFERROR(INDEX(Programs!$C$6:$C$205,MATCH(B119,Programs!$A$6:$A$205,0)),""))</f>
        <v/>
      </c>
      <c r="D119" s="97" t="str">
        <f t="array" ref="D119">IF(B119="","",IFERROR(INDEX(Programs!$B$6:$B$205,MATCH(B119,Programs!$A$6:$A$205,0)),""))</f>
        <v/>
      </c>
      <c r="E119" s="99"/>
      <c r="F119" s="99"/>
      <c r="G119" s="78"/>
      <c r="H119" s="74" t="str">
        <f>IF(A119="","",IF(COUNTIFS(Deadlines!$D$6:$D$205,A119,Deadlines!$H$6:$H$205,"&lt;&gt;Completed",Deadlines!$G$6:$G$205,"&lt;&gt;")=0,"",MINIFS(Deadlines!$G$6:$G$205,Deadlines!$D$6:$D$205,A119,Deadlines!$H$6:$H$205,"&lt;&gt;Completed")))</f>
        <v/>
      </c>
      <c r="I119" s="66" t="str">
        <f t="shared" si="1"/>
        <v/>
      </c>
      <c r="J119" s="66" t="str">
        <f>IF(A119="","",COUNTIFS(Tasks!$D$6:$D$205,A119,Tasks!$G$6:$G$205,"&lt;&gt;Done",Tasks!$H$6:$H$205,TRUE)+COUNTIFS(Documents!$K$6:$K$205,A119,Documents!$G$6:$G$205,"&lt;&gt;Ready")+COUNTIFS(Essays!$C$6:$C$205,A119,Essays!$G$6:$G$205,"&lt;&gt;Final")+COUNTIFS(Recommenders!$G$6:$G$205,A119,Recommenders!$H$6:$H$205,"&lt;&gt;Submitted"))</f>
        <v/>
      </c>
      <c r="K119" s="104"/>
      <c r="L119" s="99"/>
      <c r="M119" s="99"/>
      <c r="N119" s="65"/>
      <c r="O119" s="99"/>
      <c r="P119" s="65"/>
      <c r="Q119" s="78"/>
      <c r="R119" s="78"/>
      <c r="S119" s="78"/>
    </row>
    <row r="120" ht="24.0" customHeight="1">
      <c r="A120" s="78"/>
      <c r="B120" s="78"/>
      <c r="C120" s="97" t="str">
        <f t="array" ref="C120">IF(B120="","",IFERROR(INDEX(Programs!$C$6:$C$205,MATCH(B120,Programs!$A$6:$A$205,0)),""))</f>
        <v/>
      </c>
      <c r="D120" s="97" t="str">
        <f t="array" ref="D120">IF(B120="","",IFERROR(INDEX(Programs!$B$6:$B$205,MATCH(B120,Programs!$A$6:$A$205,0)),""))</f>
        <v/>
      </c>
      <c r="E120" s="99"/>
      <c r="F120" s="99"/>
      <c r="G120" s="78"/>
      <c r="H120" s="74" t="str">
        <f>IF(A120="","",IF(COUNTIFS(Deadlines!$D$6:$D$205,A120,Deadlines!$H$6:$H$205,"&lt;&gt;Completed",Deadlines!$G$6:$G$205,"&lt;&gt;")=0,"",MINIFS(Deadlines!$G$6:$G$205,Deadlines!$D$6:$D$205,A120,Deadlines!$H$6:$H$205,"&lt;&gt;Completed")))</f>
        <v/>
      </c>
      <c r="I120" s="66" t="str">
        <f t="shared" si="1"/>
        <v/>
      </c>
      <c r="J120" s="66" t="str">
        <f>IF(A120="","",COUNTIFS(Tasks!$D$6:$D$205,A120,Tasks!$G$6:$G$205,"&lt;&gt;Done",Tasks!$H$6:$H$205,TRUE)+COUNTIFS(Documents!$K$6:$K$205,A120,Documents!$G$6:$G$205,"&lt;&gt;Ready")+COUNTIFS(Essays!$C$6:$C$205,A120,Essays!$G$6:$G$205,"&lt;&gt;Final")+COUNTIFS(Recommenders!$G$6:$G$205,A120,Recommenders!$H$6:$H$205,"&lt;&gt;Submitted"))</f>
        <v/>
      </c>
      <c r="K120" s="104"/>
      <c r="L120" s="99"/>
      <c r="M120" s="99"/>
      <c r="N120" s="65"/>
      <c r="O120" s="99"/>
      <c r="P120" s="65"/>
      <c r="Q120" s="78"/>
      <c r="R120" s="78"/>
      <c r="S120" s="78"/>
    </row>
    <row r="121" ht="24.0" customHeight="1">
      <c r="A121" s="78"/>
      <c r="B121" s="78"/>
      <c r="C121" s="97" t="str">
        <f t="array" ref="C121">IF(B121="","",IFERROR(INDEX(Programs!$C$6:$C$205,MATCH(B121,Programs!$A$6:$A$205,0)),""))</f>
        <v/>
      </c>
      <c r="D121" s="97" t="str">
        <f t="array" ref="D121">IF(B121="","",IFERROR(INDEX(Programs!$B$6:$B$205,MATCH(B121,Programs!$A$6:$A$205,0)),""))</f>
        <v/>
      </c>
      <c r="E121" s="99"/>
      <c r="F121" s="99"/>
      <c r="G121" s="78"/>
      <c r="H121" s="74" t="str">
        <f>IF(A121="","",IF(COUNTIFS(Deadlines!$D$6:$D$205,A121,Deadlines!$H$6:$H$205,"&lt;&gt;Completed",Deadlines!$G$6:$G$205,"&lt;&gt;")=0,"",MINIFS(Deadlines!$G$6:$G$205,Deadlines!$D$6:$D$205,A121,Deadlines!$H$6:$H$205,"&lt;&gt;Completed")))</f>
        <v/>
      </c>
      <c r="I121" s="66" t="str">
        <f t="shared" si="1"/>
        <v/>
      </c>
      <c r="J121" s="66" t="str">
        <f>IF(A121="","",COUNTIFS(Tasks!$D$6:$D$205,A121,Tasks!$G$6:$G$205,"&lt;&gt;Done",Tasks!$H$6:$H$205,TRUE)+COUNTIFS(Documents!$K$6:$K$205,A121,Documents!$G$6:$G$205,"&lt;&gt;Ready")+COUNTIFS(Essays!$C$6:$C$205,A121,Essays!$G$6:$G$205,"&lt;&gt;Final")+COUNTIFS(Recommenders!$G$6:$G$205,A121,Recommenders!$H$6:$H$205,"&lt;&gt;Submitted"))</f>
        <v/>
      </c>
      <c r="K121" s="104"/>
      <c r="L121" s="99"/>
      <c r="M121" s="99"/>
      <c r="N121" s="65"/>
      <c r="O121" s="99"/>
      <c r="P121" s="65"/>
      <c r="Q121" s="78"/>
      <c r="R121" s="78"/>
      <c r="S121" s="78"/>
    </row>
    <row r="122" ht="24.0" customHeight="1">
      <c r="A122" s="78"/>
      <c r="B122" s="78"/>
      <c r="C122" s="97" t="str">
        <f t="array" ref="C122">IF(B122="","",IFERROR(INDEX(Programs!$C$6:$C$205,MATCH(B122,Programs!$A$6:$A$205,0)),""))</f>
        <v/>
      </c>
      <c r="D122" s="97" t="str">
        <f t="array" ref="D122">IF(B122="","",IFERROR(INDEX(Programs!$B$6:$B$205,MATCH(B122,Programs!$A$6:$A$205,0)),""))</f>
        <v/>
      </c>
      <c r="E122" s="99"/>
      <c r="F122" s="99"/>
      <c r="G122" s="78"/>
      <c r="H122" s="74" t="str">
        <f>IF(A122="","",IF(COUNTIFS(Deadlines!$D$6:$D$205,A122,Deadlines!$H$6:$H$205,"&lt;&gt;Completed",Deadlines!$G$6:$G$205,"&lt;&gt;")=0,"",MINIFS(Deadlines!$G$6:$G$205,Deadlines!$D$6:$D$205,A122,Deadlines!$H$6:$H$205,"&lt;&gt;Completed")))</f>
        <v/>
      </c>
      <c r="I122" s="66" t="str">
        <f t="shared" si="1"/>
        <v/>
      </c>
      <c r="J122" s="66" t="str">
        <f>IF(A122="","",COUNTIFS(Tasks!$D$6:$D$205,A122,Tasks!$G$6:$G$205,"&lt;&gt;Done",Tasks!$H$6:$H$205,TRUE)+COUNTIFS(Documents!$K$6:$K$205,A122,Documents!$G$6:$G$205,"&lt;&gt;Ready")+COUNTIFS(Essays!$C$6:$C$205,A122,Essays!$G$6:$G$205,"&lt;&gt;Final")+COUNTIFS(Recommenders!$G$6:$G$205,A122,Recommenders!$H$6:$H$205,"&lt;&gt;Submitted"))</f>
        <v/>
      </c>
      <c r="K122" s="104"/>
      <c r="L122" s="99"/>
      <c r="M122" s="99"/>
      <c r="N122" s="65"/>
      <c r="O122" s="99"/>
      <c r="P122" s="65"/>
      <c r="Q122" s="78"/>
      <c r="R122" s="78"/>
      <c r="S122" s="78"/>
    </row>
    <row r="123" ht="24.0" customHeight="1">
      <c r="A123" s="78"/>
      <c r="B123" s="78"/>
      <c r="C123" s="97" t="str">
        <f t="array" ref="C123">IF(B123="","",IFERROR(INDEX(Programs!$C$6:$C$205,MATCH(B123,Programs!$A$6:$A$205,0)),""))</f>
        <v/>
      </c>
      <c r="D123" s="97" t="str">
        <f t="array" ref="D123">IF(B123="","",IFERROR(INDEX(Programs!$B$6:$B$205,MATCH(B123,Programs!$A$6:$A$205,0)),""))</f>
        <v/>
      </c>
      <c r="E123" s="99"/>
      <c r="F123" s="99"/>
      <c r="G123" s="78"/>
      <c r="H123" s="74" t="str">
        <f>IF(A123="","",IF(COUNTIFS(Deadlines!$D$6:$D$205,A123,Deadlines!$H$6:$H$205,"&lt;&gt;Completed",Deadlines!$G$6:$G$205,"&lt;&gt;")=0,"",MINIFS(Deadlines!$G$6:$G$205,Deadlines!$D$6:$D$205,A123,Deadlines!$H$6:$H$205,"&lt;&gt;Completed")))</f>
        <v/>
      </c>
      <c r="I123" s="66" t="str">
        <f t="shared" si="1"/>
        <v/>
      </c>
      <c r="J123" s="66" t="str">
        <f>IF(A123="","",COUNTIFS(Tasks!$D$6:$D$205,A123,Tasks!$G$6:$G$205,"&lt;&gt;Done",Tasks!$H$6:$H$205,TRUE)+COUNTIFS(Documents!$K$6:$K$205,A123,Documents!$G$6:$G$205,"&lt;&gt;Ready")+COUNTIFS(Essays!$C$6:$C$205,A123,Essays!$G$6:$G$205,"&lt;&gt;Final")+COUNTIFS(Recommenders!$G$6:$G$205,A123,Recommenders!$H$6:$H$205,"&lt;&gt;Submitted"))</f>
        <v/>
      </c>
      <c r="K123" s="104"/>
      <c r="L123" s="99"/>
      <c r="M123" s="99"/>
      <c r="N123" s="65"/>
      <c r="O123" s="99"/>
      <c r="P123" s="65"/>
      <c r="Q123" s="78"/>
      <c r="R123" s="78"/>
      <c r="S123" s="78"/>
    </row>
    <row r="124" ht="24.0" customHeight="1">
      <c r="A124" s="78"/>
      <c r="B124" s="78"/>
      <c r="C124" s="97" t="str">
        <f t="array" ref="C124">IF(B124="","",IFERROR(INDEX(Programs!$C$6:$C$205,MATCH(B124,Programs!$A$6:$A$205,0)),""))</f>
        <v/>
      </c>
      <c r="D124" s="97" t="str">
        <f t="array" ref="D124">IF(B124="","",IFERROR(INDEX(Programs!$B$6:$B$205,MATCH(B124,Programs!$A$6:$A$205,0)),""))</f>
        <v/>
      </c>
      <c r="E124" s="99"/>
      <c r="F124" s="99"/>
      <c r="G124" s="78"/>
      <c r="H124" s="74" t="str">
        <f>IF(A124="","",IF(COUNTIFS(Deadlines!$D$6:$D$205,A124,Deadlines!$H$6:$H$205,"&lt;&gt;Completed",Deadlines!$G$6:$G$205,"&lt;&gt;")=0,"",MINIFS(Deadlines!$G$6:$G$205,Deadlines!$D$6:$D$205,A124,Deadlines!$H$6:$H$205,"&lt;&gt;Completed")))</f>
        <v/>
      </c>
      <c r="I124" s="66" t="str">
        <f t="shared" si="1"/>
        <v/>
      </c>
      <c r="J124" s="66" t="str">
        <f>IF(A124="","",COUNTIFS(Tasks!$D$6:$D$205,A124,Tasks!$G$6:$G$205,"&lt;&gt;Done",Tasks!$H$6:$H$205,TRUE)+COUNTIFS(Documents!$K$6:$K$205,A124,Documents!$G$6:$G$205,"&lt;&gt;Ready")+COUNTIFS(Essays!$C$6:$C$205,A124,Essays!$G$6:$G$205,"&lt;&gt;Final")+COUNTIFS(Recommenders!$G$6:$G$205,A124,Recommenders!$H$6:$H$205,"&lt;&gt;Submitted"))</f>
        <v/>
      </c>
      <c r="K124" s="104"/>
      <c r="L124" s="99"/>
      <c r="M124" s="99"/>
      <c r="N124" s="65"/>
      <c r="O124" s="99"/>
      <c r="P124" s="65"/>
      <c r="Q124" s="78"/>
      <c r="R124" s="78"/>
      <c r="S124" s="78"/>
    </row>
    <row r="125" ht="24.0" customHeight="1">
      <c r="A125" s="78"/>
      <c r="B125" s="78"/>
      <c r="C125" s="97" t="str">
        <f t="array" ref="C125">IF(B125="","",IFERROR(INDEX(Programs!$C$6:$C$205,MATCH(B125,Programs!$A$6:$A$205,0)),""))</f>
        <v/>
      </c>
      <c r="D125" s="97" t="str">
        <f t="array" ref="D125">IF(B125="","",IFERROR(INDEX(Programs!$B$6:$B$205,MATCH(B125,Programs!$A$6:$A$205,0)),""))</f>
        <v/>
      </c>
      <c r="E125" s="99"/>
      <c r="F125" s="99"/>
      <c r="G125" s="78"/>
      <c r="H125" s="74" t="str">
        <f>IF(A125="","",IF(COUNTIFS(Deadlines!$D$6:$D$205,A125,Deadlines!$H$6:$H$205,"&lt;&gt;Completed",Deadlines!$G$6:$G$205,"&lt;&gt;")=0,"",MINIFS(Deadlines!$G$6:$G$205,Deadlines!$D$6:$D$205,A125,Deadlines!$H$6:$H$205,"&lt;&gt;Completed")))</f>
        <v/>
      </c>
      <c r="I125" s="66" t="str">
        <f t="shared" si="1"/>
        <v/>
      </c>
      <c r="J125" s="66" t="str">
        <f>IF(A125="","",COUNTIFS(Tasks!$D$6:$D$205,A125,Tasks!$G$6:$G$205,"&lt;&gt;Done",Tasks!$H$6:$H$205,TRUE)+COUNTIFS(Documents!$K$6:$K$205,A125,Documents!$G$6:$G$205,"&lt;&gt;Ready")+COUNTIFS(Essays!$C$6:$C$205,A125,Essays!$G$6:$G$205,"&lt;&gt;Final")+COUNTIFS(Recommenders!$G$6:$G$205,A125,Recommenders!$H$6:$H$205,"&lt;&gt;Submitted"))</f>
        <v/>
      </c>
      <c r="K125" s="104"/>
      <c r="L125" s="99"/>
      <c r="M125" s="99"/>
      <c r="N125" s="65"/>
      <c r="O125" s="99"/>
      <c r="P125" s="65"/>
      <c r="Q125" s="78"/>
      <c r="R125" s="78"/>
      <c r="S125" s="78"/>
    </row>
    <row r="126" ht="24.0" customHeight="1">
      <c r="A126" s="78"/>
      <c r="B126" s="78"/>
      <c r="C126" s="97" t="str">
        <f t="array" ref="C126">IF(B126="","",IFERROR(INDEX(Programs!$C$6:$C$205,MATCH(B126,Programs!$A$6:$A$205,0)),""))</f>
        <v/>
      </c>
      <c r="D126" s="97" t="str">
        <f t="array" ref="D126">IF(B126="","",IFERROR(INDEX(Programs!$B$6:$B$205,MATCH(B126,Programs!$A$6:$A$205,0)),""))</f>
        <v/>
      </c>
      <c r="E126" s="99"/>
      <c r="F126" s="99"/>
      <c r="G126" s="78"/>
      <c r="H126" s="74" t="str">
        <f>IF(A126="","",IF(COUNTIFS(Deadlines!$D$6:$D$205,A126,Deadlines!$H$6:$H$205,"&lt;&gt;Completed",Deadlines!$G$6:$G$205,"&lt;&gt;")=0,"",MINIFS(Deadlines!$G$6:$G$205,Deadlines!$D$6:$D$205,A126,Deadlines!$H$6:$H$205,"&lt;&gt;Completed")))</f>
        <v/>
      </c>
      <c r="I126" s="66" t="str">
        <f t="shared" si="1"/>
        <v/>
      </c>
      <c r="J126" s="66" t="str">
        <f>IF(A126="","",COUNTIFS(Tasks!$D$6:$D$205,A126,Tasks!$G$6:$G$205,"&lt;&gt;Done",Tasks!$H$6:$H$205,TRUE)+COUNTIFS(Documents!$K$6:$K$205,A126,Documents!$G$6:$G$205,"&lt;&gt;Ready")+COUNTIFS(Essays!$C$6:$C$205,A126,Essays!$G$6:$G$205,"&lt;&gt;Final")+COUNTIFS(Recommenders!$G$6:$G$205,A126,Recommenders!$H$6:$H$205,"&lt;&gt;Submitted"))</f>
        <v/>
      </c>
      <c r="K126" s="104"/>
      <c r="L126" s="99"/>
      <c r="M126" s="99"/>
      <c r="N126" s="65"/>
      <c r="O126" s="99"/>
      <c r="P126" s="65"/>
      <c r="Q126" s="78"/>
      <c r="R126" s="78"/>
      <c r="S126" s="78"/>
    </row>
    <row r="127" ht="24.0" customHeight="1">
      <c r="A127" s="78"/>
      <c r="B127" s="78"/>
      <c r="C127" s="97" t="str">
        <f t="array" ref="C127">IF(B127="","",IFERROR(INDEX(Programs!$C$6:$C$205,MATCH(B127,Programs!$A$6:$A$205,0)),""))</f>
        <v/>
      </c>
      <c r="D127" s="97" t="str">
        <f t="array" ref="D127">IF(B127="","",IFERROR(INDEX(Programs!$B$6:$B$205,MATCH(B127,Programs!$A$6:$A$205,0)),""))</f>
        <v/>
      </c>
      <c r="E127" s="99"/>
      <c r="F127" s="99"/>
      <c r="G127" s="78"/>
      <c r="H127" s="74" t="str">
        <f>IF(A127="","",IF(COUNTIFS(Deadlines!$D$6:$D$205,A127,Deadlines!$H$6:$H$205,"&lt;&gt;Completed",Deadlines!$G$6:$G$205,"&lt;&gt;")=0,"",MINIFS(Deadlines!$G$6:$G$205,Deadlines!$D$6:$D$205,A127,Deadlines!$H$6:$H$205,"&lt;&gt;Completed")))</f>
        <v/>
      </c>
      <c r="I127" s="66" t="str">
        <f t="shared" si="1"/>
        <v/>
      </c>
      <c r="J127" s="66" t="str">
        <f>IF(A127="","",COUNTIFS(Tasks!$D$6:$D$205,A127,Tasks!$G$6:$G$205,"&lt;&gt;Done",Tasks!$H$6:$H$205,TRUE)+COUNTIFS(Documents!$K$6:$K$205,A127,Documents!$G$6:$G$205,"&lt;&gt;Ready")+COUNTIFS(Essays!$C$6:$C$205,A127,Essays!$G$6:$G$205,"&lt;&gt;Final")+COUNTIFS(Recommenders!$G$6:$G$205,A127,Recommenders!$H$6:$H$205,"&lt;&gt;Submitted"))</f>
        <v/>
      </c>
      <c r="K127" s="104"/>
      <c r="L127" s="99"/>
      <c r="M127" s="99"/>
      <c r="N127" s="65"/>
      <c r="O127" s="99"/>
      <c r="P127" s="65"/>
      <c r="Q127" s="78"/>
      <c r="R127" s="78"/>
      <c r="S127" s="78"/>
    </row>
    <row r="128" ht="24.0" customHeight="1">
      <c r="A128" s="78"/>
      <c r="B128" s="78"/>
      <c r="C128" s="97" t="str">
        <f t="array" ref="C128">IF(B128="","",IFERROR(INDEX(Programs!$C$6:$C$205,MATCH(B128,Programs!$A$6:$A$205,0)),""))</f>
        <v/>
      </c>
      <c r="D128" s="97" t="str">
        <f t="array" ref="D128">IF(B128="","",IFERROR(INDEX(Programs!$B$6:$B$205,MATCH(B128,Programs!$A$6:$A$205,0)),""))</f>
        <v/>
      </c>
      <c r="E128" s="99"/>
      <c r="F128" s="99"/>
      <c r="G128" s="78"/>
      <c r="H128" s="74" t="str">
        <f>IF(A128="","",IF(COUNTIFS(Deadlines!$D$6:$D$205,A128,Deadlines!$H$6:$H$205,"&lt;&gt;Completed",Deadlines!$G$6:$G$205,"&lt;&gt;")=0,"",MINIFS(Deadlines!$G$6:$G$205,Deadlines!$D$6:$D$205,A128,Deadlines!$H$6:$H$205,"&lt;&gt;Completed")))</f>
        <v/>
      </c>
      <c r="I128" s="66" t="str">
        <f t="shared" si="1"/>
        <v/>
      </c>
      <c r="J128" s="66" t="str">
        <f>IF(A128="","",COUNTIFS(Tasks!$D$6:$D$205,A128,Tasks!$G$6:$G$205,"&lt;&gt;Done",Tasks!$H$6:$H$205,TRUE)+COUNTIFS(Documents!$K$6:$K$205,A128,Documents!$G$6:$G$205,"&lt;&gt;Ready")+COUNTIFS(Essays!$C$6:$C$205,A128,Essays!$G$6:$G$205,"&lt;&gt;Final")+COUNTIFS(Recommenders!$G$6:$G$205,A128,Recommenders!$H$6:$H$205,"&lt;&gt;Submitted"))</f>
        <v/>
      </c>
      <c r="K128" s="104"/>
      <c r="L128" s="99"/>
      <c r="M128" s="99"/>
      <c r="N128" s="65"/>
      <c r="O128" s="99"/>
      <c r="P128" s="65"/>
      <c r="Q128" s="78"/>
      <c r="R128" s="78"/>
      <c r="S128" s="78"/>
    </row>
    <row r="129" ht="24.0" customHeight="1">
      <c r="A129" s="78"/>
      <c r="B129" s="78"/>
      <c r="C129" s="97" t="str">
        <f t="array" ref="C129">IF(B129="","",IFERROR(INDEX(Programs!$C$6:$C$205,MATCH(B129,Programs!$A$6:$A$205,0)),""))</f>
        <v/>
      </c>
      <c r="D129" s="97" t="str">
        <f t="array" ref="D129">IF(B129="","",IFERROR(INDEX(Programs!$B$6:$B$205,MATCH(B129,Programs!$A$6:$A$205,0)),""))</f>
        <v/>
      </c>
      <c r="E129" s="99"/>
      <c r="F129" s="99"/>
      <c r="G129" s="78"/>
      <c r="H129" s="74" t="str">
        <f>IF(A129="","",IF(COUNTIFS(Deadlines!$D$6:$D$205,A129,Deadlines!$H$6:$H$205,"&lt;&gt;Completed",Deadlines!$G$6:$G$205,"&lt;&gt;")=0,"",MINIFS(Deadlines!$G$6:$G$205,Deadlines!$D$6:$D$205,A129,Deadlines!$H$6:$H$205,"&lt;&gt;Completed")))</f>
        <v/>
      </c>
      <c r="I129" s="66" t="str">
        <f t="shared" si="1"/>
        <v/>
      </c>
      <c r="J129" s="66" t="str">
        <f>IF(A129="","",COUNTIFS(Tasks!$D$6:$D$205,A129,Tasks!$G$6:$G$205,"&lt;&gt;Done",Tasks!$H$6:$H$205,TRUE)+COUNTIFS(Documents!$K$6:$K$205,A129,Documents!$G$6:$G$205,"&lt;&gt;Ready")+COUNTIFS(Essays!$C$6:$C$205,A129,Essays!$G$6:$G$205,"&lt;&gt;Final")+COUNTIFS(Recommenders!$G$6:$G$205,A129,Recommenders!$H$6:$H$205,"&lt;&gt;Submitted"))</f>
        <v/>
      </c>
      <c r="K129" s="104"/>
      <c r="L129" s="99"/>
      <c r="M129" s="99"/>
      <c r="N129" s="65"/>
      <c r="O129" s="99"/>
      <c r="P129" s="65"/>
      <c r="Q129" s="78"/>
      <c r="R129" s="78"/>
      <c r="S129" s="78"/>
    </row>
    <row r="130" ht="24.0" customHeight="1">
      <c r="A130" s="78"/>
      <c r="B130" s="78"/>
      <c r="C130" s="97" t="str">
        <f t="array" ref="C130">IF(B130="","",IFERROR(INDEX(Programs!$C$6:$C$205,MATCH(B130,Programs!$A$6:$A$205,0)),""))</f>
        <v/>
      </c>
      <c r="D130" s="97" t="str">
        <f t="array" ref="D130">IF(B130="","",IFERROR(INDEX(Programs!$B$6:$B$205,MATCH(B130,Programs!$A$6:$A$205,0)),""))</f>
        <v/>
      </c>
      <c r="E130" s="99"/>
      <c r="F130" s="99"/>
      <c r="G130" s="78"/>
      <c r="H130" s="74" t="str">
        <f>IF(A130="","",IF(COUNTIFS(Deadlines!$D$6:$D$205,A130,Deadlines!$H$6:$H$205,"&lt;&gt;Completed",Deadlines!$G$6:$G$205,"&lt;&gt;")=0,"",MINIFS(Deadlines!$G$6:$G$205,Deadlines!$D$6:$D$205,A130,Deadlines!$H$6:$H$205,"&lt;&gt;Completed")))</f>
        <v/>
      </c>
      <c r="I130" s="66" t="str">
        <f t="shared" si="1"/>
        <v/>
      </c>
      <c r="J130" s="66" t="str">
        <f>IF(A130="","",COUNTIFS(Tasks!$D$6:$D$205,A130,Tasks!$G$6:$G$205,"&lt;&gt;Done",Tasks!$H$6:$H$205,TRUE)+COUNTIFS(Documents!$K$6:$K$205,A130,Documents!$G$6:$G$205,"&lt;&gt;Ready")+COUNTIFS(Essays!$C$6:$C$205,A130,Essays!$G$6:$G$205,"&lt;&gt;Final")+COUNTIFS(Recommenders!$G$6:$G$205,A130,Recommenders!$H$6:$H$205,"&lt;&gt;Submitted"))</f>
        <v/>
      </c>
      <c r="K130" s="104"/>
      <c r="L130" s="99"/>
      <c r="M130" s="99"/>
      <c r="N130" s="65"/>
      <c r="O130" s="99"/>
      <c r="P130" s="65"/>
      <c r="Q130" s="78"/>
      <c r="R130" s="78"/>
      <c r="S130" s="78"/>
    </row>
    <row r="131" ht="24.0" customHeight="1">
      <c r="A131" s="78"/>
      <c r="B131" s="78"/>
      <c r="C131" s="97" t="str">
        <f t="array" ref="C131">IF(B131="","",IFERROR(INDEX(Programs!$C$6:$C$205,MATCH(B131,Programs!$A$6:$A$205,0)),""))</f>
        <v/>
      </c>
      <c r="D131" s="97" t="str">
        <f t="array" ref="D131">IF(B131="","",IFERROR(INDEX(Programs!$B$6:$B$205,MATCH(B131,Programs!$A$6:$A$205,0)),""))</f>
        <v/>
      </c>
      <c r="E131" s="99"/>
      <c r="F131" s="99"/>
      <c r="G131" s="78"/>
      <c r="H131" s="74" t="str">
        <f>IF(A131="","",IF(COUNTIFS(Deadlines!$D$6:$D$205,A131,Deadlines!$H$6:$H$205,"&lt;&gt;Completed",Deadlines!$G$6:$G$205,"&lt;&gt;")=0,"",MINIFS(Deadlines!$G$6:$G$205,Deadlines!$D$6:$D$205,A131,Deadlines!$H$6:$H$205,"&lt;&gt;Completed")))</f>
        <v/>
      </c>
      <c r="I131" s="66" t="str">
        <f t="shared" si="1"/>
        <v/>
      </c>
      <c r="J131" s="66" t="str">
        <f>IF(A131="","",COUNTIFS(Tasks!$D$6:$D$205,A131,Tasks!$G$6:$G$205,"&lt;&gt;Done",Tasks!$H$6:$H$205,TRUE)+COUNTIFS(Documents!$K$6:$K$205,A131,Documents!$G$6:$G$205,"&lt;&gt;Ready")+COUNTIFS(Essays!$C$6:$C$205,A131,Essays!$G$6:$G$205,"&lt;&gt;Final")+COUNTIFS(Recommenders!$G$6:$G$205,A131,Recommenders!$H$6:$H$205,"&lt;&gt;Submitted"))</f>
        <v/>
      </c>
      <c r="K131" s="104"/>
      <c r="L131" s="99"/>
      <c r="M131" s="99"/>
      <c r="N131" s="65"/>
      <c r="O131" s="99"/>
      <c r="P131" s="65"/>
      <c r="Q131" s="78"/>
      <c r="R131" s="78"/>
      <c r="S131" s="78"/>
    </row>
    <row r="132" ht="24.0" customHeight="1">
      <c r="A132" s="78"/>
      <c r="B132" s="78"/>
      <c r="C132" s="97" t="str">
        <f t="array" ref="C132">IF(B132="","",IFERROR(INDEX(Programs!$C$6:$C$205,MATCH(B132,Programs!$A$6:$A$205,0)),""))</f>
        <v/>
      </c>
      <c r="D132" s="97" t="str">
        <f t="array" ref="D132">IF(B132="","",IFERROR(INDEX(Programs!$B$6:$B$205,MATCH(B132,Programs!$A$6:$A$205,0)),""))</f>
        <v/>
      </c>
      <c r="E132" s="99"/>
      <c r="F132" s="99"/>
      <c r="G132" s="78"/>
      <c r="H132" s="74" t="str">
        <f>IF(A132="","",IF(COUNTIFS(Deadlines!$D$6:$D$205,A132,Deadlines!$H$6:$H$205,"&lt;&gt;Completed",Deadlines!$G$6:$G$205,"&lt;&gt;")=0,"",MINIFS(Deadlines!$G$6:$G$205,Deadlines!$D$6:$D$205,A132,Deadlines!$H$6:$H$205,"&lt;&gt;Completed")))</f>
        <v/>
      </c>
      <c r="I132" s="66" t="str">
        <f t="shared" si="1"/>
        <v/>
      </c>
      <c r="J132" s="66" t="str">
        <f>IF(A132="","",COUNTIFS(Tasks!$D$6:$D$205,A132,Tasks!$G$6:$G$205,"&lt;&gt;Done",Tasks!$H$6:$H$205,TRUE)+COUNTIFS(Documents!$K$6:$K$205,A132,Documents!$G$6:$G$205,"&lt;&gt;Ready")+COUNTIFS(Essays!$C$6:$C$205,A132,Essays!$G$6:$G$205,"&lt;&gt;Final")+COUNTIFS(Recommenders!$G$6:$G$205,A132,Recommenders!$H$6:$H$205,"&lt;&gt;Submitted"))</f>
        <v/>
      </c>
      <c r="K132" s="104"/>
      <c r="L132" s="99"/>
      <c r="M132" s="99"/>
      <c r="N132" s="65"/>
      <c r="O132" s="99"/>
      <c r="P132" s="65"/>
      <c r="Q132" s="78"/>
      <c r="R132" s="78"/>
      <c r="S132" s="78"/>
    </row>
    <row r="133" ht="24.0" customHeight="1">
      <c r="A133" s="78"/>
      <c r="B133" s="78"/>
      <c r="C133" s="97" t="str">
        <f t="array" ref="C133">IF(B133="","",IFERROR(INDEX(Programs!$C$6:$C$205,MATCH(B133,Programs!$A$6:$A$205,0)),""))</f>
        <v/>
      </c>
      <c r="D133" s="97" t="str">
        <f t="array" ref="D133">IF(B133="","",IFERROR(INDEX(Programs!$B$6:$B$205,MATCH(B133,Programs!$A$6:$A$205,0)),""))</f>
        <v/>
      </c>
      <c r="E133" s="99"/>
      <c r="F133" s="99"/>
      <c r="G133" s="78"/>
      <c r="H133" s="74" t="str">
        <f>IF(A133="","",IF(COUNTIFS(Deadlines!$D$6:$D$205,A133,Deadlines!$H$6:$H$205,"&lt;&gt;Completed",Deadlines!$G$6:$G$205,"&lt;&gt;")=0,"",MINIFS(Deadlines!$G$6:$G$205,Deadlines!$D$6:$D$205,A133,Deadlines!$H$6:$H$205,"&lt;&gt;Completed")))</f>
        <v/>
      </c>
      <c r="I133" s="66" t="str">
        <f t="shared" si="1"/>
        <v/>
      </c>
      <c r="J133" s="66" t="str">
        <f>IF(A133="","",COUNTIFS(Tasks!$D$6:$D$205,A133,Tasks!$G$6:$G$205,"&lt;&gt;Done",Tasks!$H$6:$H$205,TRUE)+COUNTIFS(Documents!$K$6:$K$205,A133,Documents!$G$6:$G$205,"&lt;&gt;Ready")+COUNTIFS(Essays!$C$6:$C$205,A133,Essays!$G$6:$G$205,"&lt;&gt;Final")+COUNTIFS(Recommenders!$G$6:$G$205,A133,Recommenders!$H$6:$H$205,"&lt;&gt;Submitted"))</f>
        <v/>
      </c>
      <c r="K133" s="104"/>
      <c r="L133" s="99"/>
      <c r="M133" s="99"/>
      <c r="N133" s="65"/>
      <c r="O133" s="99"/>
      <c r="P133" s="65"/>
      <c r="Q133" s="78"/>
      <c r="R133" s="78"/>
      <c r="S133" s="78"/>
    </row>
    <row r="134" ht="24.0" customHeight="1">
      <c r="A134" s="78"/>
      <c r="B134" s="78"/>
      <c r="C134" s="97" t="str">
        <f t="array" ref="C134">IF(B134="","",IFERROR(INDEX(Programs!$C$6:$C$205,MATCH(B134,Programs!$A$6:$A$205,0)),""))</f>
        <v/>
      </c>
      <c r="D134" s="97" t="str">
        <f t="array" ref="D134">IF(B134="","",IFERROR(INDEX(Programs!$B$6:$B$205,MATCH(B134,Programs!$A$6:$A$205,0)),""))</f>
        <v/>
      </c>
      <c r="E134" s="99"/>
      <c r="F134" s="99"/>
      <c r="G134" s="78"/>
      <c r="H134" s="74" t="str">
        <f>IF(A134="","",IF(COUNTIFS(Deadlines!$D$6:$D$205,A134,Deadlines!$H$6:$H$205,"&lt;&gt;Completed",Deadlines!$G$6:$G$205,"&lt;&gt;")=0,"",MINIFS(Deadlines!$G$6:$G$205,Deadlines!$D$6:$D$205,A134,Deadlines!$H$6:$H$205,"&lt;&gt;Completed")))</f>
        <v/>
      </c>
      <c r="I134" s="66" t="str">
        <f t="shared" si="1"/>
        <v/>
      </c>
      <c r="J134" s="66" t="str">
        <f>IF(A134="","",COUNTIFS(Tasks!$D$6:$D$205,A134,Tasks!$G$6:$G$205,"&lt;&gt;Done",Tasks!$H$6:$H$205,TRUE)+COUNTIFS(Documents!$K$6:$K$205,A134,Documents!$G$6:$G$205,"&lt;&gt;Ready")+COUNTIFS(Essays!$C$6:$C$205,A134,Essays!$G$6:$G$205,"&lt;&gt;Final")+COUNTIFS(Recommenders!$G$6:$G$205,A134,Recommenders!$H$6:$H$205,"&lt;&gt;Submitted"))</f>
        <v/>
      </c>
      <c r="K134" s="104"/>
      <c r="L134" s="99"/>
      <c r="M134" s="99"/>
      <c r="N134" s="65"/>
      <c r="O134" s="99"/>
      <c r="P134" s="65"/>
      <c r="Q134" s="78"/>
      <c r="R134" s="78"/>
      <c r="S134" s="78"/>
    </row>
    <row r="135" ht="24.0" customHeight="1">
      <c r="A135" s="78"/>
      <c r="B135" s="78"/>
      <c r="C135" s="97" t="str">
        <f t="array" ref="C135">IF(B135="","",IFERROR(INDEX(Programs!$C$6:$C$205,MATCH(B135,Programs!$A$6:$A$205,0)),""))</f>
        <v/>
      </c>
      <c r="D135" s="97" t="str">
        <f t="array" ref="D135">IF(B135="","",IFERROR(INDEX(Programs!$B$6:$B$205,MATCH(B135,Programs!$A$6:$A$205,0)),""))</f>
        <v/>
      </c>
      <c r="E135" s="99"/>
      <c r="F135" s="99"/>
      <c r="G135" s="78"/>
      <c r="H135" s="74" t="str">
        <f>IF(A135="","",IF(COUNTIFS(Deadlines!$D$6:$D$205,A135,Deadlines!$H$6:$H$205,"&lt;&gt;Completed",Deadlines!$G$6:$G$205,"&lt;&gt;")=0,"",MINIFS(Deadlines!$G$6:$G$205,Deadlines!$D$6:$D$205,A135,Deadlines!$H$6:$H$205,"&lt;&gt;Completed")))</f>
        <v/>
      </c>
      <c r="I135" s="66" t="str">
        <f t="shared" si="1"/>
        <v/>
      </c>
      <c r="J135" s="66" t="str">
        <f>IF(A135="","",COUNTIFS(Tasks!$D$6:$D$205,A135,Tasks!$G$6:$G$205,"&lt;&gt;Done",Tasks!$H$6:$H$205,TRUE)+COUNTIFS(Documents!$K$6:$K$205,A135,Documents!$G$6:$G$205,"&lt;&gt;Ready")+COUNTIFS(Essays!$C$6:$C$205,A135,Essays!$G$6:$G$205,"&lt;&gt;Final")+COUNTIFS(Recommenders!$G$6:$G$205,A135,Recommenders!$H$6:$H$205,"&lt;&gt;Submitted"))</f>
        <v/>
      </c>
      <c r="K135" s="104"/>
      <c r="L135" s="99"/>
      <c r="M135" s="99"/>
      <c r="N135" s="65"/>
      <c r="O135" s="99"/>
      <c r="P135" s="65"/>
      <c r="Q135" s="78"/>
      <c r="R135" s="78"/>
      <c r="S135" s="78"/>
    </row>
    <row r="136" ht="24.0" customHeight="1">
      <c r="A136" s="78"/>
      <c r="B136" s="78"/>
      <c r="C136" s="97" t="str">
        <f t="array" ref="C136">IF(B136="","",IFERROR(INDEX(Programs!$C$6:$C$205,MATCH(B136,Programs!$A$6:$A$205,0)),""))</f>
        <v/>
      </c>
      <c r="D136" s="97" t="str">
        <f t="array" ref="D136">IF(B136="","",IFERROR(INDEX(Programs!$B$6:$B$205,MATCH(B136,Programs!$A$6:$A$205,0)),""))</f>
        <v/>
      </c>
      <c r="E136" s="99"/>
      <c r="F136" s="99"/>
      <c r="G136" s="78"/>
      <c r="H136" s="74" t="str">
        <f>IF(A136="","",IF(COUNTIFS(Deadlines!$D$6:$D$205,A136,Deadlines!$H$6:$H$205,"&lt;&gt;Completed",Deadlines!$G$6:$G$205,"&lt;&gt;")=0,"",MINIFS(Deadlines!$G$6:$G$205,Deadlines!$D$6:$D$205,A136,Deadlines!$H$6:$H$205,"&lt;&gt;Completed")))</f>
        <v/>
      </c>
      <c r="I136" s="66" t="str">
        <f t="shared" si="1"/>
        <v/>
      </c>
      <c r="J136" s="66" t="str">
        <f>IF(A136="","",COUNTIFS(Tasks!$D$6:$D$205,A136,Tasks!$G$6:$G$205,"&lt;&gt;Done",Tasks!$H$6:$H$205,TRUE)+COUNTIFS(Documents!$K$6:$K$205,A136,Documents!$G$6:$G$205,"&lt;&gt;Ready")+COUNTIFS(Essays!$C$6:$C$205,A136,Essays!$G$6:$G$205,"&lt;&gt;Final")+COUNTIFS(Recommenders!$G$6:$G$205,A136,Recommenders!$H$6:$H$205,"&lt;&gt;Submitted"))</f>
        <v/>
      </c>
      <c r="K136" s="104"/>
      <c r="L136" s="99"/>
      <c r="M136" s="99"/>
      <c r="N136" s="65"/>
      <c r="O136" s="99"/>
      <c r="P136" s="65"/>
      <c r="Q136" s="78"/>
      <c r="R136" s="78"/>
      <c r="S136" s="78"/>
    </row>
    <row r="137" ht="24.0" customHeight="1">
      <c r="A137" s="78"/>
      <c r="B137" s="78"/>
      <c r="C137" s="97" t="str">
        <f t="array" ref="C137">IF(B137="","",IFERROR(INDEX(Programs!$C$6:$C$205,MATCH(B137,Programs!$A$6:$A$205,0)),""))</f>
        <v/>
      </c>
      <c r="D137" s="97" t="str">
        <f t="array" ref="D137">IF(B137="","",IFERROR(INDEX(Programs!$B$6:$B$205,MATCH(B137,Programs!$A$6:$A$205,0)),""))</f>
        <v/>
      </c>
      <c r="E137" s="99"/>
      <c r="F137" s="99"/>
      <c r="G137" s="78"/>
      <c r="H137" s="74" t="str">
        <f>IF(A137="","",IF(COUNTIFS(Deadlines!$D$6:$D$205,A137,Deadlines!$H$6:$H$205,"&lt;&gt;Completed",Deadlines!$G$6:$G$205,"&lt;&gt;")=0,"",MINIFS(Deadlines!$G$6:$G$205,Deadlines!$D$6:$D$205,A137,Deadlines!$H$6:$H$205,"&lt;&gt;Completed")))</f>
        <v/>
      </c>
      <c r="I137" s="66" t="str">
        <f t="shared" si="1"/>
        <v/>
      </c>
      <c r="J137" s="66" t="str">
        <f>IF(A137="","",COUNTIFS(Tasks!$D$6:$D$205,A137,Tasks!$G$6:$G$205,"&lt;&gt;Done",Tasks!$H$6:$H$205,TRUE)+COUNTIFS(Documents!$K$6:$K$205,A137,Documents!$G$6:$G$205,"&lt;&gt;Ready")+COUNTIFS(Essays!$C$6:$C$205,A137,Essays!$G$6:$G$205,"&lt;&gt;Final")+COUNTIFS(Recommenders!$G$6:$G$205,A137,Recommenders!$H$6:$H$205,"&lt;&gt;Submitted"))</f>
        <v/>
      </c>
      <c r="K137" s="104"/>
      <c r="L137" s="99"/>
      <c r="M137" s="99"/>
      <c r="N137" s="65"/>
      <c r="O137" s="99"/>
      <c r="P137" s="65"/>
      <c r="Q137" s="78"/>
      <c r="R137" s="78"/>
      <c r="S137" s="78"/>
    </row>
    <row r="138" ht="24.0" customHeight="1">
      <c r="A138" s="78"/>
      <c r="B138" s="78"/>
      <c r="C138" s="97" t="str">
        <f t="array" ref="C138">IF(B138="","",IFERROR(INDEX(Programs!$C$6:$C$205,MATCH(B138,Programs!$A$6:$A$205,0)),""))</f>
        <v/>
      </c>
      <c r="D138" s="97" t="str">
        <f t="array" ref="D138">IF(B138="","",IFERROR(INDEX(Programs!$B$6:$B$205,MATCH(B138,Programs!$A$6:$A$205,0)),""))</f>
        <v/>
      </c>
      <c r="E138" s="99"/>
      <c r="F138" s="99"/>
      <c r="G138" s="78"/>
      <c r="H138" s="74" t="str">
        <f>IF(A138="","",IF(COUNTIFS(Deadlines!$D$6:$D$205,A138,Deadlines!$H$6:$H$205,"&lt;&gt;Completed",Deadlines!$G$6:$G$205,"&lt;&gt;")=0,"",MINIFS(Deadlines!$G$6:$G$205,Deadlines!$D$6:$D$205,A138,Deadlines!$H$6:$H$205,"&lt;&gt;Completed")))</f>
        <v/>
      </c>
      <c r="I138" s="66" t="str">
        <f t="shared" si="1"/>
        <v/>
      </c>
      <c r="J138" s="66" t="str">
        <f>IF(A138="","",COUNTIFS(Tasks!$D$6:$D$205,A138,Tasks!$G$6:$G$205,"&lt;&gt;Done",Tasks!$H$6:$H$205,TRUE)+COUNTIFS(Documents!$K$6:$K$205,A138,Documents!$G$6:$G$205,"&lt;&gt;Ready")+COUNTIFS(Essays!$C$6:$C$205,A138,Essays!$G$6:$G$205,"&lt;&gt;Final")+COUNTIFS(Recommenders!$G$6:$G$205,A138,Recommenders!$H$6:$H$205,"&lt;&gt;Submitted"))</f>
        <v/>
      </c>
      <c r="K138" s="104"/>
      <c r="L138" s="99"/>
      <c r="M138" s="99"/>
      <c r="N138" s="65"/>
      <c r="O138" s="99"/>
      <c r="P138" s="65"/>
      <c r="Q138" s="78"/>
      <c r="R138" s="78"/>
      <c r="S138" s="78"/>
    </row>
    <row r="139" ht="24.0" customHeight="1">
      <c r="A139" s="78"/>
      <c r="B139" s="78"/>
      <c r="C139" s="97" t="str">
        <f t="array" ref="C139">IF(B139="","",IFERROR(INDEX(Programs!$C$6:$C$205,MATCH(B139,Programs!$A$6:$A$205,0)),""))</f>
        <v/>
      </c>
      <c r="D139" s="97" t="str">
        <f t="array" ref="D139">IF(B139="","",IFERROR(INDEX(Programs!$B$6:$B$205,MATCH(B139,Programs!$A$6:$A$205,0)),""))</f>
        <v/>
      </c>
      <c r="E139" s="99"/>
      <c r="F139" s="99"/>
      <c r="G139" s="78"/>
      <c r="H139" s="74" t="str">
        <f>IF(A139="","",IF(COUNTIFS(Deadlines!$D$6:$D$205,A139,Deadlines!$H$6:$H$205,"&lt;&gt;Completed",Deadlines!$G$6:$G$205,"&lt;&gt;")=0,"",MINIFS(Deadlines!$G$6:$G$205,Deadlines!$D$6:$D$205,A139,Deadlines!$H$6:$H$205,"&lt;&gt;Completed")))</f>
        <v/>
      </c>
      <c r="I139" s="66" t="str">
        <f t="shared" si="1"/>
        <v/>
      </c>
      <c r="J139" s="66" t="str">
        <f>IF(A139="","",COUNTIFS(Tasks!$D$6:$D$205,A139,Tasks!$G$6:$G$205,"&lt;&gt;Done",Tasks!$H$6:$H$205,TRUE)+COUNTIFS(Documents!$K$6:$K$205,A139,Documents!$G$6:$G$205,"&lt;&gt;Ready")+COUNTIFS(Essays!$C$6:$C$205,A139,Essays!$G$6:$G$205,"&lt;&gt;Final")+COUNTIFS(Recommenders!$G$6:$G$205,A139,Recommenders!$H$6:$H$205,"&lt;&gt;Submitted"))</f>
        <v/>
      </c>
      <c r="K139" s="104"/>
      <c r="L139" s="99"/>
      <c r="M139" s="99"/>
      <c r="N139" s="65"/>
      <c r="O139" s="99"/>
      <c r="P139" s="65"/>
      <c r="Q139" s="78"/>
      <c r="R139" s="78"/>
      <c r="S139" s="78"/>
    </row>
    <row r="140" ht="24.0" customHeight="1">
      <c r="A140" s="78"/>
      <c r="B140" s="78"/>
      <c r="C140" s="97" t="str">
        <f t="array" ref="C140">IF(B140="","",IFERROR(INDEX(Programs!$C$6:$C$205,MATCH(B140,Programs!$A$6:$A$205,0)),""))</f>
        <v/>
      </c>
      <c r="D140" s="97" t="str">
        <f t="array" ref="D140">IF(B140="","",IFERROR(INDEX(Programs!$B$6:$B$205,MATCH(B140,Programs!$A$6:$A$205,0)),""))</f>
        <v/>
      </c>
      <c r="E140" s="99"/>
      <c r="F140" s="99"/>
      <c r="G140" s="78"/>
      <c r="H140" s="74" t="str">
        <f>IF(A140="","",IF(COUNTIFS(Deadlines!$D$6:$D$205,A140,Deadlines!$H$6:$H$205,"&lt;&gt;Completed",Deadlines!$G$6:$G$205,"&lt;&gt;")=0,"",MINIFS(Deadlines!$G$6:$G$205,Deadlines!$D$6:$D$205,A140,Deadlines!$H$6:$H$205,"&lt;&gt;Completed")))</f>
        <v/>
      </c>
      <c r="I140" s="66" t="str">
        <f t="shared" si="1"/>
        <v/>
      </c>
      <c r="J140" s="66" t="str">
        <f>IF(A140="","",COUNTIFS(Tasks!$D$6:$D$205,A140,Tasks!$G$6:$G$205,"&lt;&gt;Done",Tasks!$H$6:$H$205,TRUE)+COUNTIFS(Documents!$K$6:$K$205,A140,Documents!$G$6:$G$205,"&lt;&gt;Ready")+COUNTIFS(Essays!$C$6:$C$205,A140,Essays!$G$6:$G$205,"&lt;&gt;Final")+COUNTIFS(Recommenders!$G$6:$G$205,A140,Recommenders!$H$6:$H$205,"&lt;&gt;Submitted"))</f>
        <v/>
      </c>
      <c r="K140" s="104"/>
      <c r="L140" s="99"/>
      <c r="M140" s="99"/>
      <c r="N140" s="65"/>
      <c r="O140" s="99"/>
      <c r="P140" s="65"/>
      <c r="Q140" s="78"/>
      <c r="R140" s="78"/>
      <c r="S140" s="78"/>
    </row>
    <row r="141" ht="24.0" customHeight="1">
      <c r="A141" s="78"/>
      <c r="B141" s="78"/>
      <c r="C141" s="97" t="str">
        <f t="array" ref="C141">IF(B141="","",IFERROR(INDEX(Programs!$C$6:$C$205,MATCH(B141,Programs!$A$6:$A$205,0)),""))</f>
        <v/>
      </c>
      <c r="D141" s="97" t="str">
        <f t="array" ref="D141">IF(B141="","",IFERROR(INDEX(Programs!$B$6:$B$205,MATCH(B141,Programs!$A$6:$A$205,0)),""))</f>
        <v/>
      </c>
      <c r="E141" s="99"/>
      <c r="F141" s="99"/>
      <c r="G141" s="78"/>
      <c r="H141" s="74" t="str">
        <f>IF(A141="","",IF(COUNTIFS(Deadlines!$D$6:$D$205,A141,Deadlines!$H$6:$H$205,"&lt;&gt;Completed",Deadlines!$G$6:$G$205,"&lt;&gt;")=0,"",MINIFS(Deadlines!$G$6:$G$205,Deadlines!$D$6:$D$205,A141,Deadlines!$H$6:$H$205,"&lt;&gt;Completed")))</f>
        <v/>
      </c>
      <c r="I141" s="66" t="str">
        <f t="shared" si="1"/>
        <v/>
      </c>
      <c r="J141" s="66" t="str">
        <f>IF(A141="","",COUNTIFS(Tasks!$D$6:$D$205,A141,Tasks!$G$6:$G$205,"&lt;&gt;Done",Tasks!$H$6:$H$205,TRUE)+COUNTIFS(Documents!$K$6:$K$205,A141,Documents!$G$6:$G$205,"&lt;&gt;Ready")+COUNTIFS(Essays!$C$6:$C$205,A141,Essays!$G$6:$G$205,"&lt;&gt;Final")+COUNTIFS(Recommenders!$G$6:$G$205,A141,Recommenders!$H$6:$H$205,"&lt;&gt;Submitted"))</f>
        <v/>
      </c>
      <c r="K141" s="104"/>
      <c r="L141" s="99"/>
      <c r="M141" s="99"/>
      <c r="N141" s="65"/>
      <c r="O141" s="99"/>
      <c r="P141" s="65"/>
      <c r="Q141" s="78"/>
      <c r="R141" s="78"/>
      <c r="S141" s="78"/>
    </row>
    <row r="142" ht="24.0" customHeight="1">
      <c r="A142" s="78"/>
      <c r="B142" s="78"/>
      <c r="C142" s="97" t="str">
        <f t="array" ref="C142">IF(B142="","",IFERROR(INDEX(Programs!$C$6:$C$205,MATCH(B142,Programs!$A$6:$A$205,0)),""))</f>
        <v/>
      </c>
      <c r="D142" s="97" t="str">
        <f t="array" ref="D142">IF(B142="","",IFERROR(INDEX(Programs!$B$6:$B$205,MATCH(B142,Programs!$A$6:$A$205,0)),""))</f>
        <v/>
      </c>
      <c r="E142" s="99"/>
      <c r="F142" s="99"/>
      <c r="G142" s="78"/>
      <c r="H142" s="74" t="str">
        <f>IF(A142="","",IF(COUNTIFS(Deadlines!$D$6:$D$205,A142,Deadlines!$H$6:$H$205,"&lt;&gt;Completed",Deadlines!$G$6:$G$205,"&lt;&gt;")=0,"",MINIFS(Deadlines!$G$6:$G$205,Deadlines!$D$6:$D$205,A142,Deadlines!$H$6:$H$205,"&lt;&gt;Completed")))</f>
        <v/>
      </c>
      <c r="I142" s="66" t="str">
        <f t="shared" si="1"/>
        <v/>
      </c>
      <c r="J142" s="66" t="str">
        <f>IF(A142="","",COUNTIFS(Tasks!$D$6:$D$205,A142,Tasks!$G$6:$G$205,"&lt;&gt;Done",Tasks!$H$6:$H$205,TRUE)+COUNTIFS(Documents!$K$6:$K$205,A142,Documents!$G$6:$G$205,"&lt;&gt;Ready")+COUNTIFS(Essays!$C$6:$C$205,A142,Essays!$G$6:$G$205,"&lt;&gt;Final")+COUNTIFS(Recommenders!$G$6:$G$205,A142,Recommenders!$H$6:$H$205,"&lt;&gt;Submitted"))</f>
        <v/>
      </c>
      <c r="K142" s="104"/>
      <c r="L142" s="99"/>
      <c r="M142" s="99"/>
      <c r="N142" s="65"/>
      <c r="O142" s="99"/>
      <c r="P142" s="65"/>
      <c r="Q142" s="78"/>
      <c r="R142" s="78"/>
      <c r="S142" s="78"/>
    </row>
    <row r="143" ht="24.0" customHeight="1">
      <c r="A143" s="78"/>
      <c r="B143" s="78"/>
      <c r="C143" s="97" t="str">
        <f t="array" ref="C143">IF(B143="","",IFERROR(INDEX(Programs!$C$6:$C$205,MATCH(B143,Programs!$A$6:$A$205,0)),""))</f>
        <v/>
      </c>
      <c r="D143" s="97" t="str">
        <f t="array" ref="D143">IF(B143="","",IFERROR(INDEX(Programs!$B$6:$B$205,MATCH(B143,Programs!$A$6:$A$205,0)),""))</f>
        <v/>
      </c>
      <c r="E143" s="99"/>
      <c r="F143" s="99"/>
      <c r="G143" s="78"/>
      <c r="H143" s="74" t="str">
        <f>IF(A143="","",IF(COUNTIFS(Deadlines!$D$6:$D$205,A143,Deadlines!$H$6:$H$205,"&lt;&gt;Completed",Deadlines!$G$6:$G$205,"&lt;&gt;")=0,"",MINIFS(Deadlines!$G$6:$G$205,Deadlines!$D$6:$D$205,A143,Deadlines!$H$6:$H$205,"&lt;&gt;Completed")))</f>
        <v/>
      </c>
      <c r="I143" s="66" t="str">
        <f t="shared" si="1"/>
        <v/>
      </c>
      <c r="J143" s="66" t="str">
        <f>IF(A143="","",COUNTIFS(Tasks!$D$6:$D$205,A143,Tasks!$G$6:$G$205,"&lt;&gt;Done",Tasks!$H$6:$H$205,TRUE)+COUNTIFS(Documents!$K$6:$K$205,A143,Documents!$G$6:$G$205,"&lt;&gt;Ready")+COUNTIFS(Essays!$C$6:$C$205,A143,Essays!$G$6:$G$205,"&lt;&gt;Final")+COUNTIFS(Recommenders!$G$6:$G$205,A143,Recommenders!$H$6:$H$205,"&lt;&gt;Submitted"))</f>
        <v/>
      </c>
      <c r="K143" s="104"/>
      <c r="L143" s="99"/>
      <c r="M143" s="99"/>
      <c r="N143" s="65"/>
      <c r="O143" s="99"/>
      <c r="P143" s="65"/>
      <c r="Q143" s="78"/>
      <c r="R143" s="78"/>
      <c r="S143" s="78"/>
    </row>
    <row r="144" ht="24.0" customHeight="1">
      <c r="A144" s="78"/>
      <c r="B144" s="78"/>
      <c r="C144" s="97" t="str">
        <f t="array" ref="C144">IF(B144="","",IFERROR(INDEX(Programs!$C$6:$C$205,MATCH(B144,Programs!$A$6:$A$205,0)),""))</f>
        <v/>
      </c>
      <c r="D144" s="97" t="str">
        <f t="array" ref="D144">IF(B144="","",IFERROR(INDEX(Programs!$B$6:$B$205,MATCH(B144,Programs!$A$6:$A$205,0)),""))</f>
        <v/>
      </c>
      <c r="E144" s="99"/>
      <c r="F144" s="99"/>
      <c r="G144" s="78"/>
      <c r="H144" s="74" t="str">
        <f>IF(A144="","",IF(COUNTIFS(Deadlines!$D$6:$D$205,A144,Deadlines!$H$6:$H$205,"&lt;&gt;Completed",Deadlines!$G$6:$G$205,"&lt;&gt;")=0,"",MINIFS(Deadlines!$G$6:$G$205,Deadlines!$D$6:$D$205,A144,Deadlines!$H$6:$H$205,"&lt;&gt;Completed")))</f>
        <v/>
      </c>
      <c r="I144" s="66" t="str">
        <f t="shared" si="1"/>
        <v/>
      </c>
      <c r="J144" s="66" t="str">
        <f>IF(A144="","",COUNTIFS(Tasks!$D$6:$D$205,A144,Tasks!$G$6:$G$205,"&lt;&gt;Done",Tasks!$H$6:$H$205,TRUE)+COUNTIFS(Documents!$K$6:$K$205,A144,Documents!$G$6:$G$205,"&lt;&gt;Ready")+COUNTIFS(Essays!$C$6:$C$205,A144,Essays!$G$6:$G$205,"&lt;&gt;Final")+COUNTIFS(Recommenders!$G$6:$G$205,A144,Recommenders!$H$6:$H$205,"&lt;&gt;Submitted"))</f>
        <v/>
      </c>
      <c r="K144" s="104"/>
      <c r="L144" s="99"/>
      <c r="M144" s="99"/>
      <c r="N144" s="65"/>
      <c r="O144" s="99"/>
      <c r="P144" s="65"/>
      <c r="Q144" s="78"/>
      <c r="R144" s="78"/>
      <c r="S144" s="78"/>
    </row>
    <row r="145" ht="24.0" customHeight="1">
      <c r="A145" s="78"/>
      <c r="B145" s="78"/>
      <c r="C145" s="97" t="str">
        <f t="array" ref="C145">IF(B145="","",IFERROR(INDEX(Programs!$C$6:$C$205,MATCH(B145,Programs!$A$6:$A$205,0)),""))</f>
        <v/>
      </c>
      <c r="D145" s="97" t="str">
        <f t="array" ref="D145">IF(B145="","",IFERROR(INDEX(Programs!$B$6:$B$205,MATCH(B145,Programs!$A$6:$A$205,0)),""))</f>
        <v/>
      </c>
      <c r="E145" s="99"/>
      <c r="F145" s="99"/>
      <c r="G145" s="78"/>
      <c r="H145" s="74" t="str">
        <f>IF(A145="","",IF(COUNTIFS(Deadlines!$D$6:$D$205,A145,Deadlines!$H$6:$H$205,"&lt;&gt;Completed",Deadlines!$G$6:$G$205,"&lt;&gt;")=0,"",MINIFS(Deadlines!$G$6:$G$205,Deadlines!$D$6:$D$205,A145,Deadlines!$H$6:$H$205,"&lt;&gt;Completed")))</f>
        <v/>
      </c>
      <c r="I145" s="66" t="str">
        <f t="shared" si="1"/>
        <v/>
      </c>
      <c r="J145" s="66" t="str">
        <f>IF(A145="","",COUNTIFS(Tasks!$D$6:$D$205,A145,Tasks!$G$6:$G$205,"&lt;&gt;Done",Tasks!$H$6:$H$205,TRUE)+COUNTIFS(Documents!$K$6:$K$205,A145,Documents!$G$6:$G$205,"&lt;&gt;Ready")+COUNTIFS(Essays!$C$6:$C$205,A145,Essays!$G$6:$G$205,"&lt;&gt;Final")+COUNTIFS(Recommenders!$G$6:$G$205,A145,Recommenders!$H$6:$H$205,"&lt;&gt;Submitted"))</f>
        <v/>
      </c>
      <c r="K145" s="104"/>
      <c r="L145" s="99"/>
      <c r="M145" s="99"/>
      <c r="N145" s="65"/>
      <c r="O145" s="99"/>
      <c r="P145" s="65"/>
      <c r="Q145" s="78"/>
      <c r="R145" s="78"/>
      <c r="S145" s="78"/>
    </row>
    <row r="146" ht="24.0" customHeight="1">
      <c r="A146" s="78"/>
      <c r="B146" s="78"/>
      <c r="C146" s="97" t="str">
        <f t="array" ref="C146">IF(B146="","",IFERROR(INDEX(Programs!$C$6:$C$205,MATCH(B146,Programs!$A$6:$A$205,0)),""))</f>
        <v/>
      </c>
      <c r="D146" s="97" t="str">
        <f t="array" ref="D146">IF(B146="","",IFERROR(INDEX(Programs!$B$6:$B$205,MATCH(B146,Programs!$A$6:$A$205,0)),""))</f>
        <v/>
      </c>
      <c r="E146" s="99"/>
      <c r="F146" s="99"/>
      <c r="G146" s="78"/>
      <c r="H146" s="74" t="str">
        <f>IF(A146="","",IF(COUNTIFS(Deadlines!$D$6:$D$205,A146,Deadlines!$H$6:$H$205,"&lt;&gt;Completed",Deadlines!$G$6:$G$205,"&lt;&gt;")=0,"",MINIFS(Deadlines!$G$6:$G$205,Deadlines!$D$6:$D$205,A146,Deadlines!$H$6:$H$205,"&lt;&gt;Completed")))</f>
        <v/>
      </c>
      <c r="I146" s="66" t="str">
        <f t="shared" si="1"/>
        <v/>
      </c>
      <c r="J146" s="66" t="str">
        <f>IF(A146="","",COUNTIFS(Tasks!$D$6:$D$205,A146,Tasks!$G$6:$G$205,"&lt;&gt;Done",Tasks!$H$6:$H$205,TRUE)+COUNTIFS(Documents!$K$6:$K$205,A146,Documents!$G$6:$G$205,"&lt;&gt;Ready")+COUNTIFS(Essays!$C$6:$C$205,A146,Essays!$G$6:$G$205,"&lt;&gt;Final")+COUNTIFS(Recommenders!$G$6:$G$205,A146,Recommenders!$H$6:$H$205,"&lt;&gt;Submitted"))</f>
        <v/>
      </c>
      <c r="K146" s="104"/>
      <c r="L146" s="99"/>
      <c r="M146" s="99"/>
      <c r="N146" s="65"/>
      <c r="O146" s="99"/>
      <c r="P146" s="65"/>
      <c r="Q146" s="78"/>
      <c r="R146" s="78"/>
      <c r="S146" s="78"/>
    </row>
    <row r="147" ht="24.0" customHeight="1">
      <c r="A147" s="78"/>
      <c r="B147" s="78"/>
      <c r="C147" s="97" t="str">
        <f t="array" ref="C147">IF(B147="","",IFERROR(INDEX(Programs!$C$6:$C$205,MATCH(B147,Programs!$A$6:$A$205,0)),""))</f>
        <v/>
      </c>
      <c r="D147" s="97" t="str">
        <f t="array" ref="D147">IF(B147="","",IFERROR(INDEX(Programs!$B$6:$B$205,MATCH(B147,Programs!$A$6:$A$205,0)),""))</f>
        <v/>
      </c>
      <c r="E147" s="99"/>
      <c r="F147" s="99"/>
      <c r="G147" s="78"/>
      <c r="H147" s="74" t="str">
        <f>IF(A147="","",IF(COUNTIFS(Deadlines!$D$6:$D$205,A147,Deadlines!$H$6:$H$205,"&lt;&gt;Completed",Deadlines!$G$6:$G$205,"&lt;&gt;")=0,"",MINIFS(Deadlines!$G$6:$G$205,Deadlines!$D$6:$D$205,A147,Deadlines!$H$6:$H$205,"&lt;&gt;Completed")))</f>
        <v/>
      </c>
      <c r="I147" s="66" t="str">
        <f t="shared" si="1"/>
        <v/>
      </c>
      <c r="J147" s="66" t="str">
        <f>IF(A147="","",COUNTIFS(Tasks!$D$6:$D$205,A147,Tasks!$G$6:$G$205,"&lt;&gt;Done",Tasks!$H$6:$H$205,TRUE)+COUNTIFS(Documents!$K$6:$K$205,A147,Documents!$G$6:$G$205,"&lt;&gt;Ready")+COUNTIFS(Essays!$C$6:$C$205,A147,Essays!$G$6:$G$205,"&lt;&gt;Final")+COUNTIFS(Recommenders!$G$6:$G$205,A147,Recommenders!$H$6:$H$205,"&lt;&gt;Submitted"))</f>
        <v/>
      </c>
      <c r="K147" s="104"/>
      <c r="L147" s="99"/>
      <c r="M147" s="99"/>
      <c r="N147" s="65"/>
      <c r="O147" s="99"/>
      <c r="P147" s="65"/>
      <c r="Q147" s="78"/>
      <c r="R147" s="78"/>
      <c r="S147" s="78"/>
    </row>
    <row r="148" ht="24.0" customHeight="1">
      <c r="A148" s="78"/>
      <c r="B148" s="78"/>
      <c r="C148" s="97" t="str">
        <f t="array" ref="C148">IF(B148="","",IFERROR(INDEX(Programs!$C$6:$C$205,MATCH(B148,Programs!$A$6:$A$205,0)),""))</f>
        <v/>
      </c>
      <c r="D148" s="97" t="str">
        <f t="array" ref="D148">IF(B148="","",IFERROR(INDEX(Programs!$B$6:$B$205,MATCH(B148,Programs!$A$6:$A$205,0)),""))</f>
        <v/>
      </c>
      <c r="E148" s="99"/>
      <c r="F148" s="99"/>
      <c r="G148" s="78"/>
      <c r="H148" s="74" t="str">
        <f>IF(A148="","",IF(COUNTIFS(Deadlines!$D$6:$D$205,A148,Deadlines!$H$6:$H$205,"&lt;&gt;Completed",Deadlines!$G$6:$G$205,"&lt;&gt;")=0,"",MINIFS(Deadlines!$G$6:$G$205,Deadlines!$D$6:$D$205,A148,Deadlines!$H$6:$H$205,"&lt;&gt;Completed")))</f>
        <v/>
      </c>
      <c r="I148" s="66" t="str">
        <f t="shared" si="1"/>
        <v/>
      </c>
      <c r="J148" s="66" t="str">
        <f>IF(A148="","",COUNTIFS(Tasks!$D$6:$D$205,A148,Tasks!$G$6:$G$205,"&lt;&gt;Done",Tasks!$H$6:$H$205,TRUE)+COUNTIFS(Documents!$K$6:$K$205,A148,Documents!$G$6:$G$205,"&lt;&gt;Ready")+COUNTIFS(Essays!$C$6:$C$205,A148,Essays!$G$6:$G$205,"&lt;&gt;Final")+COUNTIFS(Recommenders!$G$6:$G$205,A148,Recommenders!$H$6:$H$205,"&lt;&gt;Submitted"))</f>
        <v/>
      </c>
      <c r="K148" s="104"/>
      <c r="L148" s="99"/>
      <c r="M148" s="99"/>
      <c r="N148" s="65"/>
      <c r="O148" s="99"/>
      <c r="P148" s="65"/>
      <c r="Q148" s="78"/>
      <c r="R148" s="78"/>
      <c r="S148" s="78"/>
    </row>
    <row r="149" ht="24.0" customHeight="1">
      <c r="A149" s="78"/>
      <c r="B149" s="78"/>
      <c r="C149" s="97" t="str">
        <f t="array" ref="C149">IF(B149="","",IFERROR(INDEX(Programs!$C$6:$C$205,MATCH(B149,Programs!$A$6:$A$205,0)),""))</f>
        <v/>
      </c>
      <c r="D149" s="97" t="str">
        <f t="array" ref="D149">IF(B149="","",IFERROR(INDEX(Programs!$B$6:$B$205,MATCH(B149,Programs!$A$6:$A$205,0)),""))</f>
        <v/>
      </c>
      <c r="E149" s="99"/>
      <c r="F149" s="99"/>
      <c r="G149" s="78"/>
      <c r="H149" s="74" t="str">
        <f>IF(A149="","",IF(COUNTIFS(Deadlines!$D$6:$D$205,A149,Deadlines!$H$6:$H$205,"&lt;&gt;Completed",Deadlines!$G$6:$G$205,"&lt;&gt;")=0,"",MINIFS(Deadlines!$G$6:$G$205,Deadlines!$D$6:$D$205,A149,Deadlines!$H$6:$H$205,"&lt;&gt;Completed")))</f>
        <v/>
      </c>
      <c r="I149" s="66" t="str">
        <f t="shared" si="1"/>
        <v/>
      </c>
      <c r="J149" s="66" t="str">
        <f>IF(A149="","",COUNTIFS(Tasks!$D$6:$D$205,A149,Tasks!$G$6:$G$205,"&lt;&gt;Done",Tasks!$H$6:$H$205,TRUE)+COUNTIFS(Documents!$K$6:$K$205,A149,Documents!$G$6:$G$205,"&lt;&gt;Ready")+COUNTIFS(Essays!$C$6:$C$205,A149,Essays!$G$6:$G$205,"&lt;&gt;Final")+COUNTIFS(Recommenders!$G$6:$G$205,A149,Recommenders!$H$6:$H$205,"&lt;&gt;Submitted"))</f>
        <v/>
      </c>
      <c r="K149" s="104"/>
      <c r="L149" s="99"/>
      <c r="M149" s="99"/>
      <c r="N149" s="65"/>
      <c r="O149" s="99"/>
      <c r="P149" s="65"/>
      <c r="Q149" s="78"/>
      <c r="R149" s="78"/>
      <c r="S149" s="78"/>
    </row>
    <row r="150" ht="24.0" customHeight="1">
      <c r="A150" s="78"/>
      <c r="B150" s="78"/>
      <c r="C150" s="97" t="str">
        <f t="array" ref="C150">IF(B150="","",IFERROR(INDEX(Programs!$C$6:$C$205,MATCH(B150,Programs!$A$6:$A$205,0)),""))</f>
        <v/>
      </c>
      <c r="D150" s="97" t="str">
        <f t="array" ref="D150">IF(B150="","",IFERROR(INDEX(Programs!$B$6:$B$205,MATCH(B150,Programs!$A$6:$A$205,0)),""))</f>
        <v/>
      </c>
      <c r="E150" s="99"/>
      <c r="F150" s="99"/>
      <c r="G150" s="78"/>
      <c r="H150" s="74" t="str">
        <f>IF(A150="","",IF(COUNTIFS(Deadlines!$D$6:$D$205,A150,Deadlines!$H$6:$H$205,"&lt;&gt;Completed",Deadlines!$G$6:$G$205,"&lt;&gt;")=0,"",MINIFS(Deadlines!$G$6:$G$205,Deadlines!$D$6:$D$205,A150,Deadlines!$H$6:$H$205,"&lt;&gt;Completed")))</f>
        <v/>
      </c>
      <c r="I150" s="66" t="str">
        <f t="shared" si="1"/>
        <v/>
      </c>
      <c r="J150" s="66" t="str">
        <f>IF(A150="","",COUNTIFS(Tasks!$D$6:$D$205,A150,Tasks!$G$6:$G$205,"&lt;&gt;Done",Tasks!$H$6:$H$205,TRUE)+COUNTIFS(Documents!$K$6:$K$205,A150,Documents!$G$6:$G$205,"&lt;&gt;Ready")+COUNTIFS(Essays!$C$6:$C$205,A150,Essays!$G$6:$G$205,"&lt;&gt;Final")+COUNTIFS(Recommenders!$G$6:$G$205,A150,Recommenders!$H$6:$H$205,"&lt;&gt;Submitted"))</f>
        <v/>
      </c>
      <c r="K150" s="104"/>
      <c r="L150" s="99"/>
      <c r="M150" s="99"/>
      <c r="N150" s="65"/>
      <c r="O150" s="99"/>
      <c r="P150" s="65"/>
      <c r="Q150" s="78"/>
      <c r="R150" s="78"/>
      <c r="S150" s="78"/>
    </row>
    <row r="151" ht="24.0" customHeight="1">
      <c r="A151" s="78"/>
      <c r="B151" s="78"/>
      <c r="C151" s="97" t="str">
        <f t="array" ref="C151">IF(B151="","",IFERROR(INDEX(Programs!$C$6:$C$205,MATCH(B151,Programs!$A$6:$A$205,0)),""))</f>
        <v/>
      </c>
      <c r="D151" s="97" t="str">
        <f t="array" ref="D151">IF(B151="","",IFERROR(INDEX(Programs!$B$6:$B$205,MATCH(B151,Programs!$A$6:$A$205,0)),""))</f>
        <v/>
      </c>
      <c r="E151" s="99"/>
      <c r="F151" s="99"/>
      <c r="G151" s="78"/>
      <c r="H151" s="74" t="str">
        <f>IF(A151="","",IF(COUNTIFS(Deadlines!$D$6:$D$205,A151,Deadlines!$H$6:$H$205,"&lt;&gt;Completed",Deadlines!$G$6:$G$205,"&lt;&gt;")=0,"",MINIFS(Deadlines!$G$6:$G$205,Deadlines!$D$6:$D$205,A151,Deadlines!$H$6:$H$205,"&lt;&gt;Completed")))</f>
        <v/>
      </c>
      <c r="I151" s="66" t="str">
        <f t="shared" si="1"/>
        <v/>
      </c>
      <c r="J151" s="66" t="str">
        <f>IF(A151="","",COUNTIFS(Tasks!$D$6:$D$205,A151,Tasks!$G$6:$G$205,"&lt;&gt;Done",Tasks!$H$6:$H$205,TRUE)+COUNTIFS(Documents!$K$6:$K$205,A151,Documents!$G$6:$G$205,"&lt;&gt;Ready")+COUNTIFS(Essays!$C$6:$C$205,A151,Essays!$G$6:$G$205,"&lt;&gt;Final")+COUNTIFS(Recommenders!$G$6:$G$205,A151,Recommenders!$H$6:$H$205,"&lt;&gt;Submitted"))</f>
        <v/>
      </c>
      <c r="K151" s="104"/>
      <c r="L151" s="99"/>
      <c r="M151" s="99"/>
      <c r="N151" s="65"/>
      <c r="O151" s="99"/>
      <c r="P151" s="65"/>
      <c r="Q151" s="78"/>
      <c r="R151" s="78"/>
      <c r="S151" s="78"/>
    </row>
    <row r="152" ht="24.0" customHeight="1">
      <c r="A152" s="78"/>
      <c r="B152" s="78"/>
      <c r="C152" s="97" t="str">
        <f t="array" ref="C152">IF(B152="","",IFERROR(INDEX(Programs!$C$6:$C$205,MATCH(B152,Programs!$A$6:$A$205,0)),""))</f>
        <v/>
      </c>
      <c r="D152" s="97" t="str">
        <f t="array" ref="D152">IF(B152="","",IFERROR(INDEX(Programs!$B$6:$B$205,MATCH(B152,Programs!$A$6:$A$205,0)),""))</f>
        <v/>
      </c>
      <c r="E152" s="99"/>
      <c r="F152" s="99"/>
      <c r="G152" s="78"/>
      <c r="H152" s="74" t="str">
        <f>IF(A152="","",IF(COUNTIFS(Deadlines!$D$6:$D$205,A152,Deadlines!$H$6:$H$205,"&lt;&gt;Completed",Deadlines!$G$6:$G$205,"&lt;&gt;")=0,"",MINIFS(Deadlines!$G$6:$G$205,Deadlines!$D$6:$D$205,A152,Deadlines!$H$6:$H$205,"&lt;&gt;Completed")))</f>
        <v/>
      </c>
      <c r="I152" s="66" t="str">
        <f t="shared" si="1"/>
        <v/>
      </c>
      <c r="J152" s="66" t="str">
        <f>IF(A152="","",COUNTIFS(Tasks!$D$6:$D$205,A152,Tasks!$G$6:$G$205,"&lt;&gt;Done",Tasks!$H$6:$H$205,TRUE)+COUNTIFS(Documents!$K$6:$K$205,A152,Documents!$G$6:$G$205,"&lt;&gt;Ready")+COUNTIFS(Essays!$C$6:$C$205,A152,Essays!$G$6:$G$205,"&lt;&gt;Final")+COUNTIFS(Recommenders!$G$6:$G$205,A152,Recommenders!$H$6:$H$205,"&lt;&gt;Submitted"))</f>
        <v/>
      </c>
      <c r="K152" s="104"/>
      <c r="L152" s="99"/>
      <c r="M152" s="99"/>
      <c r="N152" s="65"/>
      <c r="O152" s="99"/>
      <c r="P152" s="65"/>
      <c r="Q152" s="78"/>
      <c r="R152" s="78"/>
      <c r="S152" s="78"/>
    </row>
    <row r="153" ht="24.0" customHeight="1">
      <c r="A153" s="78"/>
      <c r="B153" s="78"/>
      <c r="C153" s="97" t="str">
        <f t="array" ref="C153">IF(B153="","",IFERROR(INDEX(Programs!$C$6:$C$205,MATCH(B153,Programs!$A$6:$A$205,0)),""))</f>
        <v/>
      </c>
      <c r="D153" s="97" t="str">
        <f t="array" ref="D153">IF(B153="","",IFERROR(INDEX(Programs!$B$6:$B$205,MATCH(B153,Programs!$A$6:$A$205,0)),""))</f>
        <v/>
      </c>
      <c r="E153" s="99"/>
      <c r="F153" s="99"/>
      <c r="G153" s="78"/>
      <c r="H153" s="74" t="str">
        <f>IF(A153="","",IF(COUNTIFS(Deadlines!$D$6:$D$205,A153,Deadlines!$H$6:$H$205,"&lt;&gt;Completed",Deadlines!$G$6:$G$205,"&lt;&gt;")=0,"",MINIFS(Deadlines!$G$6:$G$205,Deadlines!$D$6:$D$205,A153,Deadlines!$H$6:$H$205,"&lt;&gt;Completed")))</f>
        <v/>
      </c>
      <c r="I153" s="66" t="str">
        <f t="shared" si="1"/>
        <v/>
      </c>
      <c r="J153" s="66" t="str">
        <f>IF(A153="","",COUNTIFS(Tasks!$D$6:$D$205,A153,Tasks!$G$6:$G$205,"&lt;&gt;Done",Tasks!$H$6:$H$205,TRUE)+COUNTIFS(Documents!$K$6:$K$205,A153,Documents!$G$6:$G$205,"&lt;&gt;Ready")+COUNTIFS(Essays!$C$6:$C$205,A153,Essays!$G$6:$G$205,"&lt;&gt;Final")+COUNTIFS(Recommenders!$G$6:$G$205,A153,Recommenders!$H$6:$H$205,"&lt;&gt;Submitted"))</f>
        <v/>
      </c>
      <c r="K153" s="104"/>
      <c r="L153" s="99"/>
      <c r="M153" s="99"/>
      <c r="N153" s="65"/>
      <c r="O153" s="99"/>
      <c r="P153" s="65"/>
      <c r="Q153" s="78"/>
      <c r="R153" s="78"/>
      <c r="S153" s="78"/>
    </row>
    <row r="154" ht="24.0" customHeight="1">
      <c r="A154" s="78"/>
      <c r="B154" s="78"/>
      <c r="C154" s="97" t="str">
        <f t="array" ref="C154">IF(B154="","",IFERROR(INDEX(Programs!$C$6:$C$205,MATCH(B154,Programs!$A$6:$A$205,0)),""))</f>
        <v/>
      </c>
      <c r="D154" s="97" t="str">
        <f t="array" ref="D154">IF(B154="","",IFERROR(INDEX(Programs!$B$6:$B$205,MATCH(B154,Programs!$A$6:$A$205,0)),""))</f>
        <v/>
      </c>
      <c r="E154" s="99"/>
      <c r="F154" s="99"/>
      <c r="G154" s="78"/>
      <c r="H154" s="74" t="str">
        <f>IF(A154="","",IF(COUNTIFS(Deadlines!$D$6:$D$205,A154,Deadlines!$H$6:$H$205,"&lt;&gt;Completed",Deadlines!$G$6:$G$205,"&lt;&gt;")=0,"",MINIFS(Deadlines!$G$6:$G$205,Deadlines!$D$6:$D$205,A154,Deadlines!$H$6:$H$205,"&lt;&gt;Completed")))</f>
        <v/>
      </c>
      <c r="I154" s="66" t="str">
        <f t="shared" si="1"/>
        <v/>
      </c>
      <c r="J154" s="66" t="str">
        <f>IF(A154="","",COUNTIFS(Tasks!$D$6:$D$205,A154,Tasks!$G$6:$G$205,"&lt;&gt;Done",Tasks!$H$6:$H$205,TRUE)+COUNTIFS(Documents!$K$6:$K$205,A154,Documents!$G$6:$G$205,"&lt;&gt;Ready")+COUNTIFS(Essays!$C$6:$C$205,A154,Essays!$G$6:$G$205,"&lt;&gt;Final")+COUNTIFS(Recommenders!$G$6:$G$205,A154,Recommenders!$H$6:$H$205,"&lt;&gt;Submitted"))</f>
        <v/>
      </c>
      <c r="K154" s="104"/>
      <c r="L154" s="99"/>
      <c r="M154" s="99"/>
      <c r="N154" s="65"/>
      <c r="O154" s="99"/>
      <c r="P154" s="65"/>
      <c r="Q154" s="78"/>
      <c r="R154" s="78"/>
      <c r="S154" s="78"/>
    </row>
    <row r="155" ht="24.0" customHeight="1">
      <c r="A155" s="78"/>
      <c r="B155" s="78"/>
      <c r="C155" s="97" t="str">
        <f t="array" ref="C155">IF(B155="","",IFERROR(INDEX(Programs!$C$6:$C$205,MATCH(B155,Programs!$A$6:$A$205,0)),""))</f>
        <v/>
      </c>
      <c r="D155" s="97" t="str">
        <f t="array" ref="D155">IF(B155="","",IFERROR(INDEX(Programs!$B$6:$B$205,MATCH(B155,Programs!$A$6:$A$205,0)),""))</f>
        <v/>
      </c>
      <c r="E155" s="99"/>
      <c r="F155" s="99"/>
      <c r="G155" s="78"/>
      <c r="H155" s="74" t="str">
        <f>IF(A155="","",IF(COUNTIFS(Deadlines!$D$6:$D$205,A155,Deadlines!$H$6:$H$205,"&lt;&gt;Completed",Deadlines!$G$6:$G$205,"&lt;&gt;")=0,"",MINIFS(Deadlines!$G$6:$G$205,Deadlines!$D$6:$D$205,A155,Deadlines!$H$6:$H$205,"&lt;&gt;Completed")))</f>
        <v/>
      </c>
      <c r="I155" s="66" t="str">
        <f t="shared" si="1"/>
        <v/>
      </c>
      <c r="J155" s="66" t="str">
        <f>IF(A155="","",COUNTIFS(Tasks!$D$6:$D$205,A155,Tasks!$G$6:$G$205,"&lt;&gt;Done",Tasks!$H$6:$H$205,TRUE)+COUNTIFS(Documents!$K$6:$K$205,A155,Documents!$G$6:$G$205,"&lt;&gt;Ready")+COUNTIFS(Essays!$C$6:$C$205,A155,Essays!$G$6:$G$205,"&lt;&gt;Final")+COUNTIFS(Recommenders!$G$6:$G$205,A155,Recommenders!$H$6:$H$205,"&lt;&gt;Submitted"))</f>
        <v/>
      </c>
      <c r="K155" s="104"/>
      <c r="L155" s="99"/>
      <c r="M155" s="99"/>
      <c r="N155" s="65"/>
      <c r="O155" s="99"/>
      <c r="P155" s="65"/>
      <c r="Q155" s="78"/>
      <c r="R155" s="78"/>
      <c r="S155" s="78"/>
    </row>
    <row r="156" ht="24.0" customHeight="1">
      <c r="A156" s="78"/>
      <c r="B156" s="78"/>
      <c r="C156" s="97" t="str">
        <f t="array" ref="C156">IF(B156="","",IFERROR(INDEX(Programs!$C$6:$C$205,MATCH(B156,Programs!$A$6:$A$205,0)),""))</f>
        <v/>
      </c>
      <c r="D156" s="97" t="str">
        <f t="array" ref="D156">IF(B156="","",IFERROR(INDEX(Programs!$B$6:$B$205,MATCH(B156,Programs!$A$6:$A$205,0)),""))</f>
        <v/>
      </c>
      <c r="E156" s="99"/>
      <c r="F156" s="99"/>
      <c r="G156" s="78"/>
      <c r="H156" s="74" t="str">
        <f>IF(A156="","",IF(COUNTIFS(Deadlines!$D$6:$D$205,A156,Deadlines!$H$6:$H$205,"&lt;&gt;Completed",Deadlines!$G$6:$G$205,"&lt;&gt;")=0,"",MINIFS(Deadlines!$G$6:$G$205,Deadlines!$D$6:$D$205,A156,Deadlines!$H$6:$H$205,"&lt;&gt;Completed")))</f>
        <v/>
      </c>
      <c r="I156" s="66" t="str">
        <f t="shared" si="1"/>
        <v/>
      </c>
      <c r="J156" s="66" t="str">
        <f>IF(A156="","",COUNTIFS(Tasks!$D$6:$D$205,A156,Tasks!$G$6:$G$205,"&lt;&gt;Done",Tasks!$H$6:$H$205,TRUE)+COUNTIFS(Documents!$K$6:$K$205,A156,Documents!$G$6:$G$205,"&lt;&gt;Ready")+COUNTIFS(Essays!$C$6:$C$205,A156,Essays!$G$6:$G$205,"&lt;&gt;Final")+COUNTIFS(Recommenders!$G$6:$G$205,A156,Recommenders!$H$6:$H$205,"&lt;&gt;Submitted"))</f>
        <v/>
      </c>
      <c r="K156" s="104"/>
      <c r="L156" s="99"/>
      <c r="M156" s="99"/>
      <c r="N156" s="65"/>
      <c r="O156" s="99"/>
      <c r="P156" s="65"/>
      <c r="Q156" s="78"/>
      <c r="R156" s="78"/>
      <c r="S156" s="78"/>
    </row>
    <row r="157" ht="24.0" customHeight="1">
      <c r="A157" s="78"/>
      <c r="B157" s="78"/>
      <c r="C157" s="97" t="str">
        <f t="array" ref="C157">IF(B157="","",IFERROR(INDEX(Programs!$C$6:$C$205,MATCH(B157,Programs!$A$6:$A$205,0)),""))</f>
        <v/>
      </c>
      <c r="D157" s="97" t="str">
        <f t="array" ref="D157">IF(B157="","",IFERROR(INDEX(Programs!$B$6:$B$205,MATCH(B157,Programs!$A$6:$A$205,0)),""))</f>
        <v/>
      </c>
      <c r="E157" s="99"/>
      <c r="F157" s="99"/>
      <c r="G157" s="78"/>
      <c r="H157" s="74" t="str">
        <f>IF(A157="","",IF(COUNTIFS(Deadlines!$D$6:$D$205,A157,Deadlines!$H$6:$H$205,"&lt;&gt;Completed",Deadlines!$G$6:$G$205,"&lt;&gt;")=0,"",MINIFS(Deadlines!$G$6:$G$205,Deadlines!$D$6:$D$205,A157,Deadlines!$H$6:$H$205,"&lt;&gt;Completed")))</f>
        <v/>
      </c>
      <c r="I157" s="66" t="str">
        <f t="shared" si="1"/>
        <v/>
      </c>
      <c r="J157" s="66" t="str">
        <f>IF(A157="","",COUNTIFS(Tasks!$D$6:$D$205,A157,Tasks!$G$6:$G$205,"&lt;&gt;Done",Tasks!$H$6:$H$205,TRUE)+COUNTIFS(Documents!$K$6:$K$205,A157,Documents!$G$6:$G$205,"&lt;&gt;Ready")+COUNTIFS(Essays!$C$6:$C$205,A157,Essays!$G$6:$G$205,"&lt;&gt;Final")+COUNTIFS(Recommenders!$G$6:$G$205,A157,Recommenders!$H$6:$H$205,"&lt;&gt;Submitted"))</f>
        <v/>
      </c>
      <c r="K157" s="104"/>
      <c r="L157" s="99"/>
      <c r="M157" s="99"/>
      <c r="N157" s="65"/>
      <c r="O157" s="99"/>
      <c r="P157" s="65"/>
      <c r="Q157" s="78"/>
      <c r="R157" s="78"/>
      <c r="S157" s="78"/>
    </row>
    <row r="158" ht="24.0" customHeight="1">
      <c r="A158" s="78"/>
      <c r="B158" s="78"/>
      <c r="C158" s="97" t="str">
        <f t="array" ref="C158">IF(B158="","",IFERROR(INDEX(Programs!$C$6:$C$205,MATCH(B158,Programs!$A$6:$A$205,0)),""))</f>
        <v/>
      </c>
      <c r="D158" s="97" t="str">
        <f t="array" ref="D158">IF(B158="","",IFERROR(INDEX(Programs!$B$6:$B$205,MATCH(B158,Programs!$A$6:$A$205,0)),""))</f>
        <v/>
      </c>
      <c r="E158" s="99"/>
      <c r="F158" s="99"/>
      <c r="G158" s="78"/>
      <c r="H158" s="74" t="str">
        <f>IF(A158="","",IF(COUNTIFS(Deadlines!$D$6:$D$205,A158,Deadlines!$H$6:$H$205,"&lt;&gt;Completed",Deadlines!$G$6:$G$205,"&lt;&gt;")=0,"",MINIFS(Deadlines!$G$6:$G$205,Deadlines!$D$6:$D$205,A158,Deadlines!$H$6:$H$205,"&lt;&gt;Completed")))</f>
        <v/>
      </c>
      <c r="I158" s="66" t="str">
        <f t="shared" si="1"/>
        <v/>
      </c>
      <c r="J158" s="66" t="str">
        <f>IF(A158="","",COUNTIFS(Tasks!$D$6:$D$205,A158,Tasks!$G$6:$G$205,"&lt;&gt;Done",Tasks!$H$6:$H$205,TRUE)+COUNTIFS(Documents!$K$6:$K$205,A158,Documents!$G$6:$G$205,"&lt;&gt;Ready")+COUNTIFS(Essays!$C$6:$C$205,A158,Essays!$G$6:$G$205,"&lt;&gt;Final")+COUNTIFS(Recommenders!$G$6:$G$205,A158,Recommenders!$H$6:$H$205,"&lt;&gt;Submitted"))</f>
        <v/>
      </c>
      <c r="K158" s="104"/>
      <c r="L158" s="99"/>
      <c r="M158" s="99"/>
      <c r="N158" s="65"/>
      <c r="O158" s="99"/>
      <c r="P158" s="65"/>
      <c r="Q158" s="78"/>
      <c r="R158" s="78"/>
      <c r="S158" s="78"/>
    </row>
    <row r="159" ht="24.0" customHeight="1">
      <c r="A159" s="78"/>
      <c r="B159" s="78"/>
      <c r="C159" s="97" t="str">
        <f t="array" ref="C159">IF(B159="","",IFERROR(INDEX(Programs!$C$6:$C$205,MATCH(B159,Programs!$A$6:$A$205,0)),""))</f>
        <v/>
      </c>
      <c r="D159" s="97" t="str">
        <f t="array" ref="D159">IF(B159="","",IFERROR(INDEX(Programs!$B$6:$B$205,MATCH(B159,Programs!$A$6:$A$205,0)),""))</f>
        <v/>
      </c>
      <c r="E159" s="99"/>
      <c r="F159" s="99"/>
      <c r="G159" s="78"/>
      <c r="H159" s="74" t="str">
        <f>IF(A159="","",IF(COUNTIFS(Deadlines!$D$6:$D$205,A159,Deadlines!$H$6:$H$205,"&lt;&gt;Completed",Deadlines!$G$6:$G$205,"&lt;&gt;")=0,"",MINIFS(Deadlines!$G$6:$G$205,Deadlines!$D$6:$D$205,A159,Deadlines!$H$6:$H$205,"&lt;&gt;Completed")))</f>
        <v/>
      </c>
      <c r="I159" s="66" t="str">
        <f t="shared" si="1"/>
        <v/>
      </c>
      <c r="J159" s="66" t="str">
        <f>IF(A159="","",COUNTIFS(Tasks!$D$6:$D$205,A159,Tasks!$G$6:$G$205,"&lt;&gt;Done",Tasks!$H$6:$H$205,TRUE)+COUNTIFS(Documents!$K$6:$K$205,A159,Documents!$G$6:$G$205,"&lt;&gt;Ready")+COUNTIFS(Essays!$C$6:$C$205,A159,Essays!$G$6:$G$205,"&lt;&gt;Final")+COUNTIFS(Recommenders!$G$6:$G$205,A159,Recommenders!$H$6:$H$205,"&lt;&gt;Submitted"))</f>
        <v/>
      </c>
      <c r="K159" s="104"/>
      <c r="L159" s="99"/>
      <c r="M159" s="99"/>
      <c r="N159" s="65"/>
      <c r="O159" s="99"/>
      <c r="P159" s="65"/>
      <c r="Q159" s="78"/>
      <c r="R159" s="78"/>
      <c r="S159" s="78"/>
    </row>
    <row r="160" ht="24.0" customHeight="1">
      <c r="A160" s="78"/>
      <c r="B160" s="78"/>
      <c r="C160" s="97" t="str">
        <f t="array" ref="C160">IF(B160="","",IFERROR(INDEX(Programs!$C$6:$C$205,MATCH(B160,Programs!$A$6:$A$205,0)),""))</f>
        <v/>
      </c>
      <c r="D160" s="97" t="str">
        <f t="array" ref="D160">IF(B160="","",IFERROR(INDEX(Programs!$B$6:$B$205,MATCH(B160,Programs!$A$6:$A$205,0)),""))</f>
        <v/>
      </c>
      <c r="E160" s="99"/>
      <c r="F160" s="99"/>
      <c r="G160" s="78"/>
      <c r="H160" s="74" t="str">
        <f>IF(A160="","",IF(COUNTIFS(Deadlines!$D$6:$D$205,A160,Deadlines!$H$6:$H$205,"&lt;&gt;Completed",Deadlines!$G$6:$G$205,"&lt;&gt;")=0,"",MINIFS(Deadlines!$G$6:$G$205,Deadlines!$D$6:$D$205,A160,Deadlines!$H$6:$H$205,"&lt;&gt;Completed")))</f>
        <v/>
      </c>
      <c r="I160" s="66" t="str">
        <f t="shared" si="1"/>
        <v/>
      </c>
      <c r="J160" s="66" t="str">
        <f>IF(A160="","",COUNTIFS(Tasks!$D$6:$D$205,A160,Tasks!$G$6:$G$205,"&lt;&gt;Done",Tasks!$H$6:$H$205,TRUE)+COUNTIFS(Documents!$K$6:$K$205,A160,Documents!$G$6:$G$205,"&lt;&gt;Ready")+COUNTIFS(Essays!$C$6:$C$205,A160,Essays!$G$6:$G$205,"&lt;&gt;Final")+COUNTIFS(Recommenders!$G$6:$G$205,A160,Recommenders!$H$6:$H$205,"&lt;&gt;Submitted"))</f>
        <v/>
      </c>
      <c r="K160" s="104"/>
      <c r="L160" s="99"/>
      <c r="M160" s="99"/>
      <c r="N160" s="65"/>
      <c r="O160" s="99"/>
      <c r="P160" s="65"/>
      <c r="Q160" s="78"/>
      <c r="R160" s="78"/>
      <c r="S160" s="78"/>
    </row>
    <row r="161" ht="24.0" customHeight="1">
      <c r="A161" s="78"/>
      <c r="B161" s="78"/>
      <c r="C161" s="97" t="str">
        <f t="array" ref="C161">IF(B161="","",IFERROR(INDEX(Programs!$C$6:$C$205,MATCH(B161,Programs!$A$6:$A$205,0)),""))</f>
        <v/>
      </c>
      <c r="D161" s="97" t="str">
        <f t="array" ref="D161">IF(B161="","",IFERROR(INDEX(Programs!$B$6:$B$205,MATCH(B161,Programs!$A$6:$A$205,0)),""))</f>
        <v/>
      </c>
      <c r="E161" s="99"/>
      <c r="F161" s="99"/>
      <c r="G161" s="78"/>
      <c r="H161" s="74" t="str">
        <f>IF(A161="","",IF(COUNTIFS(Deadlines!$D$6:$D$205,A161,Deadlines!$H$6:$H$205,"&lt;&gt;Completed",Deadlines!$G$6:$G$205,"&lt;&gt;")=0,"",MINIFS(Deadlines!$G$6:$G$205,Deadlines!$D$6:$D$205,A161,Deadlines!$H$6:$H$205,"&lt;&gt;Completed")))</f>
        <v/>
      </c>
      <c r="I161" s="66" t="str">
        <f t="shared" si="1"/>
        <v/>
      </c>
      <c r="J161" s="66" t="str">
        <f>IF(A161="","",COUNTIFS(Tasks!$D$6:$D$205,A161,Tasks!$G$6:$G$205,"&lt;&gt;Done",Tasks!$H$6:$H$205,TRUE)+COUNTIFS(Documents!$K$6:$K$205,A161,Documents!$G$6:$G$205,"&lt;&gt;Ready")+COUNTIFS(Essays!$C$6:$C$205,A161,Essays!$G$6:$G$205,"&lt;&gt;Final")+COUNTIFS(Recommenders!$G$6:$G$205,A161,Recommenders!$H$6:$H$205,"&lt;&gt;Submitted"))</f>
        <v/>
      </c>
      <c r="K161" s="104"/>
      <c r="L161" s="99"/>
      <c r="M161" s="99"/>
      <c r="N161" s="65"/>
      <c r="O161" s="99"/>
      <c r="P161" s="65"/>
      <c r="Q161" s="78"/>
      <c r="R161" s="78"/>
      <c r="S161" s="78"/>
    </row>
    <row r="162" ht="24.0" customHeight="1">
      <c r="A162" s="78"/>
      <c r="B162" s="78"/>
      <c r="C162" s="97" t="str">
        <f t="array" ref="C162">IF(B162="","",IFERROR(INDEX(Programs!$C$6:$C$205,MATCH(B162,Programs!$A$6:$A$205,0)),""))</f>
        <v/>
      </c>
      <c r="D162" s="97" t="str">
        <f t="array" ref="D162">IF(B162="","",IFERROR(INDEX(Programs!$B$6:$B$205,MATCH(B162,Programs!$A$6:$A$205,0)),""))</f>
        <v/>
      </c>
      <c r="E162" s="99"/>
      <c r="F162" s="99"/>
      <c r="G162" s="78"/>
      <c r="H162" s="74" t="str">
        <f>IF(A162="","",IF(COUNTIFS(Deadlines!$D$6:$D$205,A162,Deadlines!$H$6:$H$205,"&lt;&gt;Completed",Deadlines!$G$6:$G$205,"&lt;&gt;")=0,"",MINIFS(Deadlines!$G$6:$G$205,Deadlines!$D$6:$D$205,A162,Deadlines!$H$6:$H$205,"&lt;&gt;Completed")))</f>
        <v/>
      </c>
      <c r="I162" s="66" t="str">
        <f t="shared" si="1"/>
        <v/>
      </c>
      <c r="J162" s="66" t="str">
        <f>IF(A162="","",COUNTIFS(Tasks!$D$6:$D$205,A162,Tasks!$G$6:$G$205,"&lt;&gt;Done",Tasks!$H$6:$H$205,TRUE)+COUNTIFS(Documents!$K$6:$K$205,A162,Documents!$G$6:$G$205,"&lt;&gt;Ready")+COUNTIFS(Essays!$C$6:$C$205,A162,Essays!$G$6:$G$205,"&lt;&gt;Final")+COUNTIFS(Recommenders!$G$6:$G$205,A162,Recommenders!$H$6:$H$205,"&lt;&gt;Submitted"))</f>
        <v/>
      </c>
      <c r="K162" s="104"/>
      <c r="L162" s="99"/>
      <c r="M162" s="99"/>
      <c r="N162" s="65"/>
      <c r="O162" s="99"/>
      <c r="P162" s="65"/>
      <c r="Q162" s="78"/>
      <c r="R162" s="78"/>
      <c r="S162" s="78"/>
    </row>
    <row r="163" ht="24.0" customHeight="1">
      <c r="A163" s="78"/>
      <c r="B163" s="78"/>
      <c r="C163" s="97" t="str">
        <f t="array" ref="C163">IF(B163="","",IFERROR(INDEX(Programs!$C$6:$C$205,MATCH(B163,Programs!$A$6:$A$205,0)),""))</f>
        <v/>
      </c>
      <c r="D163" s="97" t="str">
        <f t="array" ref="D163">IF(B163="","",IFERROR(INDEX(Programs!$B$6:$B$205,MATCH(B163,Programs!$A$6:$A$205,0)),""))</f>
        <v/>
      </c>
      <c r="E163" s="99"/>
      <c r="F163" s="99"/>
      <c r="G163" s="78"/>
      <c r="H163" s="74" t="str">
        <f>IF(A163="","",IF(COUNTIFS(Deadlines!$D$6:$D$205,A163,Deadlines!$H$6:$H$205,"&lt;&gt;Completed",Deadlines!$G$6:$G$205,"&lt;&gt;")=0,"",MINIFS(Deadlines!$G$6:$G$205,Deadlines!$D$6:$D$205,A163,Deadlines!$H$6:$H$205,"&lt;&gt;Completed")))</f>
        <v/>
      </c>
      <c r="I163" s="66" t="str">
        <f t="shared" si="1"/>
        <v/>
      </c>
      <c r="J163" s="66" t="str">
        <f>IF(A163="","",COUNTIFS(Tasks!$D$6:$D$205,A163,Tasks!$G$6:$G$205,"&lt;&gt;Done",Tasks!$H$6:$H$205,TRUE)+COUNTIFS(Documents!$K$6:$K$205,A163,Documents!$G$6:$G$205,"&lt;&gt;Ready")+COUNTIFS(Essays!$C$6:$C$205,A163,Essays!$G$6:$G$205,"&lt;&gt;Final")+COUNTIFS(Recommenders!$G$6:$G$205,A163,Recommenders!$H$6:$H$205,"&lt;&gt;Submitted"))</f>
        <v/>
      </c>
      <c r="K163" s="104"/>
      <c r="L163" s="99"/>
      <c r="M163" s="99"/>
      <c r="N163" s="65"/>
      <c r="O163" s="99"/>
      <c r="P163" s="65"/>
      <c r="Q163" s="78"/>
      <c r="R163" s="78"/>
      <c r="S163" s="78"/>
    </row>
    <row r="164" ht="24.0" customHeight="1">
      <c r="A164" s="78"/>
      <c r="B164" s="78"/>
      <c r="C164" s="97" t="str">
        <f t="array" ref="C164">IF(B164="","",IFERROR(INDEX(Programs!$C$6:$C$205,MATCH(B164,Programs!$A$6:$A$205,0)),""))</f>
        <v/>
      </c>
      <c r="D164" s="97" t="str">
        <f t="array" ref="D164">IF(B164="","",IFERROR(INDEX(Programs!$B$6:$B$205,MATCH(B164,Programs!$A$6:$A$205,0)),""))</f>
        <v/>
      </c>
      <c r="E164" s="99"/>
      <c r="F164" s="99"/>
      <c r="G164" s="78"/>
      <c r="H164" s="74" t="str">
        <f>IF(A164="","",IF(COUNTIFS(Deadlines!$D$6:$D$205,A164,Deadlines!$H$6:$H$205,"&lt;&gt;Completed",Deadlines!$G$6:$G$205,"&lt;&gt;")=0,"",MINIFS(Deadlines!$G$6:$G$205,Deadlines!$D$6:$D$205,A164,Deadlines!$H$6:$H$205,"&lt;&gt;Completed")))</f>
        <v/>
      </c>
      <c r="I164" s="66" t="str">
        <f t="shared" si="1"/>
        <v/>
      </c>
      <c r="J164" s="66" t="str">
        <f>IF(A164="","",COUNTIFS(Tasks!$D$6:$D$205,A164,Tasks!$G$6:$G$205,"&lt;&gt;Done",Tasks!$H$6:$H$205,TRUE)+COUNTIFS(Documents!$K$6:$K$205,A164,Documents!$G$6:$G$205,"&lt;&gt;Ready")+COUNTIFS(Essays!$C$6:$C$205,A164,Essays!$G$6:$G$205,"&lt;&gt;Final")+COUNTIFS(Recommenders!$G$6:$G$205,A164,Recommenders!$H$6:$H$205,"&lt;&gt;Submitted"))</f>
        <v/>
      </c>
      <c r="K164" s="104"/>
      <c r="L164" s="99"/>
      <c r="M164" s="99"/>
      <c r="N164" s="65"/>
      <c r="O164" s="99"/>
      <c r="P164" s="65"/>
      <c r="Q164" s="78"/>
      <c r="R164" s="78"/>
      <c r="S164" s="78"/>
    </row>
    <row r="165" ht="24.0" customHeight="1">
      <c r="A165" s="78"/>
      <c r="B165" s="78"/>
      <c r="C165" s="97" t="str">
        <f t="array" ref="C165">IF(B165="","",IFERROR(INDEX(Programs!$C$6:$C$205,MATCH(B165,Programs!$A$6:$A$205,0)),""))</f>
        <v/>
      </c>
      <c r="D165" s="97" t="str">
        <f t="array" ref="D165">IF(B165="","",IFERROR(INDEX(Programs!$B$6:$B$205,MATCH(B165,Programs!$A$6:$A$205,0)),""))</f>
        <v/>
      </c>
      <c r="E165" s="99"/>
      <c r="F165" s="99"/>
      <c r="G165" s="78"/>
      <c r="H165" s="74" t="str">
        <f>IF(A165="","",IF(COUNTIFS(Deadlines!$D$6:$D$205,A165,Deadlines!$H$6:$H$205,"&lt;&gt;Completed",Deadlines!$G$6:$G$205,"&lt;&gt;")=0,"",MINIFS(Deadlines!$G$6:$G$205,Deadlines!$D$6:$D$205,A165,Deadlines!$H$6:$H$205,"&lt;&gt;Completed")))</f>
        <v/>
      </c>
      <c r="I165" s="66" t="str">
        <f t="shared" si="1"/>
        <v/>
      </c>
      <c r="J165" s="66" t="str">
        <f>IF(A165="","",COUNTIFS(Tasks!$D$6:$D$205,A165,Tasks!$G$6:$G$205,"&lt;&gt;Done",Tasks!$H$6:$H$205,TRUE)+COUNTIFS(Documents!$K$6:$K$205,A165,Documents!$G$6:$G$205,"&lt;&gt;Ready")+COUNTIFS(Essays!$C$6:$C$205,A165,Essays!$G$6:$G$205,"&lt;&gt;Final")+COUNTIFS(Recommenders!$G$6:$G$205,A165,Recommenders!$H$6:$H$205,"&lt;&gt;Submitted"))</f>
        <v/>
      </c>
      <c r="K165" s="104"/>
      <c r="L165" s="99"/>
      <c r="M165" s="99"/>
      <c r="N165" s="65"/>
      <c r="O165" s="99"/>
      <c r="P165" s="65"/>
      <c r="Q165" s="78"/>
      <c r="R165" s="78"/>
      <c r="S165" s="78"/>
    </row>
    <row r="166" ht="24.0" customHeight="1">
      <c r="A166" s="78"/>
      <c r="B166" s="78"/>
      <c r="C166" s="97" t="str">
        <f t="array" ref="C166">IF(B166="","",IFERROR(INDEX(Programs!$C$6:$C$205,MATCH(B166,Programs!$A$6:$A$205,0)),""))</f>
        <v/>
      </c>
      <c r="D166" s="97" t="str">
        <f t="array" ref="D166">IF(B166="","",IFERROR(INDEX(Programs!$B$6:$B$205,MATCH(B166,Programs!$A$6:$A$205,0)),""))</f>
        <v/>
      </c>
      <c r="E166" s="99"/>
      <c r="F166" s="99"/>
      <c r="G166" s="78"/>
      <c r="H166" s="74" t="str">
        <f>IF(A166="","",IF(COUNTIFS(Deadlines!$D$6:$D$205,A166,Deadlines!$H$6:$H$205,"&lt;&gt;Completed",Deadlines!$G$6:$G$205,"&lt;&gt;")=0,"",MINIFS(Deadlines!$G$6:$G$205,Deadlines!$D$6:$D$205,A166,Deadlines!$H$6:$H$205,"&lt;&gt;Completed")))</f>
        <v/>
      </c>
      <c r="I166" s="66" t="str">
        <f t="shared" si="1"/>
        <v/>
      </c>
      <c r="J166" s="66" t="str">
        <f>IF(A166="","",COUNTIFS(Tasks!$D$6:$D$205,A166,Tasks!$G$6:$G$205,"&lt;&gt;Done",Tasks!$H$6:$H$205,TRUE)+COUNTIFS(Documents!$K$6:$K$205,A166,Documents!$G$6:$G$205,"&lt;&gt;Ready")+COUNTIFS(Essays!$C$6:$C$205,A166,Essays!$G$6:$G$205,"&lt;&gt;Final")+COUNTIFS(Recommenders!$G$6:$G$205,A166,Recommenders!$H$6:$H$205,"&lt;&gt;Submitted"))</f>
        <v/>
      </c>
      <c r="K166" s="104"/>
      <c r="L166" s="99"/>
      <c r="M166" s="99"/>
      <c r="N166" s="65"/>
      <c r="O166" s="99"/>
      <c r="P166" s="65"/>
      <c r="Q166" s="78"/>
      <c r="R166" s="78"/>
      <c r="S166" s="78"/>
    </row>
    <row r="167" ht="24.0" customHeight="1">
      <c r="A167" s="78"/>
      <c r="B167" s="78"/>
      <c r="C167" s="97" t="str">
        <f t="array" ref="C167">IF(B167="","",IFERROR(INDEX(Programs!$C$6:$C$205,MATCH(B167,Programs!$A$6:$A$205,0)),""))</f>
        <v/>
      </c>
      <c r="D167" s="97" t="str">
        <f t="array" ref="D167">IF(B167="","",IFERROR(INDEX(Programs!$B$6:$B$205,MATCH(B167,Programs!$A$6:$A$205,0)),""))</f>
        <v/>
      </c>
      <c r="E167" s="99"/>
      <c r="F167" s="99"/>
      <c r="G167" s="78"/>
      <c r="H167" s="74" t="str">
        <f>IF(A167="","",IF(COUNTIFS(Deadlines!$D$6:$D$205,A167,Deadlines!$H$6:$H$205,"&lt;&gt;Completed",Deadlines!$G$6:$G$205,"&lt;&gt;")=0,"",MINIFS(Deadlines!$G$6:$G$205,Deadlines!$D$6:$D$205,A167,Deadlines!$H$6:$H$205,"&lt;&gt;Completed")))</f>
        <v/>
      </c>
      <c r="I167" s="66" t="str">
        <f t="shared" si="1"/>
        <v/>
      </c>
      <c r="J167" s="66" t="str">
        <f>IF(A167="","",COUNTIFS(Tasks!$D$6:$D$205,A167,Tasks!$G$6:$G$205,"&lt;&gt;Done",Tasks!$H$6:$H$205,TRUE)+COUNTIFS(Documents!$K$6:$K$205,A167,Documents!$G$6:$G$205,"&lt;&gt;Ready")+COUNTIFS(Essays!$C$6:$C$205,A167,Essays!$G$6:$G$205,"&lt;&gt;Final")+COUNTIFS(Recommenders!$G$6:$G$205,A167,Recommenders!$H$6:$H$205,"&lt;&gt;Submitted"))</f>
        <v/>
      </c>
      <c r="K167" s="104"/>
      <c r="L167" s="99"/>
      <c r="M167" s="99"/>
      <c r="N167" s="65"/>
      <c r="O167" s="99"/>
      <c r="P167" s="65"/>
      <c r="Q167" s="78"/>
      <c r="R167" s="78"/>
      <c r="S167" s="78"/>
    </row>
    <row r="168" ht="24.0" customHeight="1">
      <c r="A168" s="78"/>
      <c r="B168" s="78"/>
      <c r="C168" s="97" t="str">
        <f t="array" ref="C168">IF(B168="","",IFERROR(INDEX(Programs!$C$6:$C$205,MATCH(B168,Programs!$A$6:$A$205,0)),""))</f>
        <v/>
      </c>
      <c r="D168" s="97" t="str">
        <f t="array" ref="D168">IF(B168="","",IFERROR(INDEX(Programs!$B$6:$B$205,MATCH(B168,Programs!$A$6:$A$205,0)),""))</f>
        <v/>
      </c>
      <c r="E168" s="99"/>
      <c r="F168" s="99"/>
      <c r="G168" s="78"/>
      <c r="H168" s="74" t="str">
        <f>IF(A168="","",IF(COUNTIFS(Deadlines!$D$6:$D$205,A168,Deadlines!$H$6:$H$205,"&lt;&gt;Completed",Deadlines!$G$6:$G$205,"&lt;&gt;")=0,"",MINIFS(Deadlines!$G$6:$G$205,Deadlines!$D$6:$D$205,A168,Deadlines!$H$6:$H$205,"&lt;&gt;Completed")))</f>
        <v/>
      </c>
      <c r="I168" s="66" t="str">
        <f t="shared" si="1"/>
        <v/>
      </c>
      <c r="J168" s="66" t="str">
        <f>IF(A168="","",COUNTIFS(Tasks!$D$6:$D$205,A168,Tasks!$G$6:$G$205,"&lt;&gt;Done",Tasks!$H$6:$H$205,TRUE)+COUNTIFS(Documents!$K$6:$K$205,A168,Documents!$G$6:$G$205,"&lt;&gt;Ready")+COUNTIFS(Essays!$C$6:$C$205,A168,Essays!$G$6:$G$205,"&lt;&gt;Final")+COUNTIFS(Recommenders!$G$6:$G$205,A168,Recommenders!$H$6:$H$205,"&lt;&gt;Submitted"))</f>
        <v/>
      </c>
      <c r="K168" s="104"/>
      <c r="L168" s="99"/>
      <c r="M168" s="99"/>
      <c r="N168" s="65"/>
      <c r="O168" s="99"/>
      <c r="P168" s="65"/>
      <c r="Q168" s="78"/>
      <c r="R168" s="78"/>
      <c r="S168" s="78"/>
    </row>
    <row r="169" ht="24.0" customHeight="1">
      <c r="A169" s="78"/>
      <c r="B169" s="78"/>
      <c r="C169" s="97" t="str">
        <f t="array" ref="C169">IF(B169="","",IFERROR(INDEX(Programs!$C$6:$C$205,MATCH(B169,Programs!$A$6:$A$205,0)),""))</f>
        <v/>
      </c>
      <c r="D169" s="97" t="str">
        <f t="array" ref="D169">IF(B169="","",IFERROR(INDEX(Programs!$B$6:$B$205,MATCH(B169,Programs!$A$6:$A$205,0)),""))</f>
        <v/>
      </c>
      <c r="E169" s="99"/>
      <c r="F169" s="99"/>
      <c r="G169" s="78"/>
      <c r="H169" s="74" t="str">
        <f>IF(A169="","",IF(COUNTIFS(Deadlines!$D$6:$D$205,A169,Deadlines!$H$6:$H$205,"&lt;&gt;Completed",Deadlines!$G$6:$G$205,"&lt;&gt;")=0,"",MINIFS(Deadlines!$G$6:$G$205,Deadlines!$D$6:$D$205,A169,Deadlines!$H$6:$H$205,"&lt;&gt;Completed")))</f>
        <v/>
      </c>
      <c r="I169" s="66" t="str">
        <f t="shared" si="1"/>
        <v/>
      </c>
      <c r="J169" s="66" t="str">
        <f>IF(A169="","",COUNTIFS(Tasks!$D$6:$D$205,A169,Tasks!$G$6:$G$205,"&lt;&gt;Done",Tasks!$H$6:$H$205,TRUE)+COUNTIFS(Documents!$K$6:$K$205,A169,Documents!$G$6:$G$205,"&lt;&gt;Ready")+COUNTIFS(Essays!$C$6:$C$205,A169,Essays!$G$6:$G$205,"&lt;&gt;Final")+COUNTIFS(Recommenders!$G$6:$G$205,A169,Recommenders!$H$6:$H$205,"&lt;&gt;Submitted"))</f>
        <v/>
      </c>
      <c r="K169" s="104"/>
      <c r="L169" s="99"/>
      <c r="M169" s="99"/>
      <c r="N169" s="65"/>
      <c r="O169" s="99"/>
      <c r="P169" s="65"/>
      <c r="Q169" s="78"/>
      <c r="R169" s="78"/>
      <c r="S169" s="78"/>
    </row>
    <row r="170" ht="24.0" customHeight="1">
      <c r="A170" s="78"/>
      <c r="B170" s="78"/>
      <c r="C170" s="97" t="str">
        <f t="array" ref="C170">IF(B170="","",IFERROR(INDEX(Programs!$C$6:$C$205,MATCH(B170,Programs!$A$6:$A$205,0)),""))</f>
        <v/>
      </c>
      <c r="D170" s="97" t="str">
        <f t="array" ref="D170">IF(B170="","",IFERROR(INDEX(Programs!$B$6:$B$205,MATCH(B170,Programs!$A$6:$A$205,0)),""))</f>
        <v/>
      </c>
      <c r="E170" s="99"/>
      <c r="F170" s="99"/>
      <c r="G170" s="78"/>
      <c r="H170" s="74" t="str">
        <f>IF(A170="","",IF(COUNTIFS(Deadlines!$D$6:$D$205,A170,Deadlines!$H$6:$H$205,"&lt;&gt;Completed",Deadlines!$G$6:$G$205,"&lt;&gt;")=0,"",MINIFS(Deadlines!$G$6:$G$205,Deadlines!$D$6:$D$205,A170,Deadlines!$H$6:$H$205,"&lt;&gt;Completed")))</f>
        <v/>
      </c>
      <c r="I170" s="66" t="str">
        <f t="shared" si="1"/>
        <v/>
      </c>
      <c r="J170" s="66" t="str">
        <f>IF(A170="","",COUNTIFS(Tasks!$D$6:$D$205,A170,Tasks!$G$6:$G$205,"&lt;&gt;Done",Tasks!$H$6:$H$205,TRUE)+COUNTIFS(Documents!$K$6:$K$205,A170,Documents!$G$6:$G$205,"&lt;&gt;Ready")+COUNTIFS(Essays!$C$6:$C$205,A170,Essays!$G$6:$G$205,"&lt;&gt;Final")+COUNTIFS(Recommenders!$G$6:$G$205,A170,Recommenders!$H$6:$H$205,"&lt;&gt;Submitted"))</f>
        <v/>
      </c>
      <c r="K170" s="104"/>
      <c r="L170" s="99"/>
      <c r="M170" s="99"/>
      <c r="N170" s="65"/>
      <c r="O170" s="99"/>
      <c r="P170" s="65"/>
      <c r="Q170" s="78"/>
      <c r="R170" s="78"/>
      <c r="S170" s="78"/>
    </row>
    <row r="171" ht="24.0" customHeight="1">
      <c r="A171" s="78"/>
      <c r="B171" s="78"/>
      <c r="C171" s="97" t="str">
        <f t="array" ref="C171">IF(B171="","",IFERROR(INDEX(Programs!$C$6:$C$205,MATCH(B171,Programs!$A$6:$A$205,0)),""))</f>
        <v/>
      </c>
      <c r="D171" s="97" t="str">
        <f t="array" ref="D171">IF(B171="","",IFERROR(INDEX(Programs!$B$6:$B$205,MATCH(B171,Programs!$A$6:$A$205,0)),""))</f>
        <v/>
      </c>
      <c r="E171" s="99"/>
      <c r="F171" s="99"/>
      <c r="G171" s="78"/>
      <c r="H171" s="74" t="str">
        <f>IF(A171="","",IF(COUNTIFS(Deadlines!$D$6:$D$205,A171,Deadlines!$H$6:$H$205,"&lt;&gt;Completed",Deadlines!$G$6:$G$205,"&lt;&gt;")=0,"",MINIFS(Deadlines!$G$6:$G$205,Deadlines!$D$6:$D$205,A171,Deadlines!$H$6:$H$205,"&lt;&gt;Completed")))</f>
        <v/>
      </c>
      <c r="I171" s="66" t="str">
        <f t="shared" si="1"/>
        <v/>
      </c>
      <c r="J171" s="66" t="str">
        <f>IF(A171="","",COUNTIFS(Tasks!$D$6:$D$205,A171,Tasks!$G$6:$G$205,"&lt;&gt;Done",Tasks!$H$6:$H$205,TRUE)+COUNTIFS(Documents!$K$6:$K$205,A171,Documents!$G$6:$G$205,"&lt;&gt;Ready")+COUNTIFS(Essays!$C$6:$C$205,A171,Essays!$G$6:$G$205,"&lt;&gt;Final")+COUNTIFS(Recommenders!$G$6:$G$205,A171,Recommenders!$H$6:$H$205,"&lt;&gt;Submitted"))</f>
        <v/>
      </c>
      <c r="K171" s="104"/>
      <c r="L171" s="99"/>
      <c r="M171" s="99"/>
      <c r="N171" s="65"/>
      <c r="O171" s="99"/>
      <c r="P171" s="65"/>
      <c r="Q171" s="78"/>
      <c r="R171" s="78"/>
      <c r="S171" s="78"/>
    </row>
    <row r="172" ht="24.0" customHeight="1">
      <c r="A172" s="78"/>
      <c r="B172" s="78"/>
      <c r="C172" s="97" t="str">
        <f t="array" ref="C172">IF(B172="","",IFERROR(INDEX(Programs!$C$6:$C$205,MATCH(B172,Programs!$A$6:$A$205,0)),""))</f>
        <v/>
      </c>
      <c r="D172" s="97" t="str">
        <f t="array" ref="D172">IF(B172="","",IFERROR(INDEX(Programs!$B$6:$B$205,MATCH(B172,Programs!$A$6:$A$205,0)),""))</f>
        <v/>
      </c>
      <c r="E172" s="99"/>
      <c r="F172" s="99"/>
      <c r="G172" s="78"/>
      <c r="H172" s="74" t="str">
        <f>IF(A172="","",IF(COUNTIFS(Deadlines!$D$6:$D$205,A172,Deadlines!$H$6:$H$205,"&lt;&gt;Completed",Deadlines!$G$6:$G$205,"&lt;&gt;")=0,"",MINIFS(Deadlines!$G$6:$G$205,Deadlines!$D$6:$D$205,A172,Deadlines!$H$6:$H$205,"&lt;&gt;Completed")))</f>
        <v/>
      </c>
      <c r="I172" s="66" t="str">
        <f t="shared" si="1"/>
        <v/>
      </c>
      <c r="J172" s="66" t="str">
        <f>IF(A172="","",COUNTIFS(Tasks!$D$6:$D$205,A172,Tasks!$G$6:$G$205,"&lt;&gt;Done",Tasks!$H$6:$H$205,TRUE)+COUNTIFS(Documents!$K$6:$K$205,A172,Documents!$G$6:$G$205,"&lt;&gt;Ready")+COUNTIFS(Essays!$C$6:$C$205,A172,Essays!$G$6:$G$205,"&lt;&gt;Final")+COUNTIFS(Recommenders!$G$6:$G$205,A172,Recommenders!$H$6:$H$205,"&lt;&gt;Submitted"))</f>
        <v/>
      </c>
      <c r="K172" s="104"/>
      <c r="L172" s="99"/>
      <c r="M172" s="99"/>
      <c r="N172" s="65"/>
      <c r="O172" s="99"/>
      <c r="P172" s="65"/>
      <c r="Q172" s="78"/>
      <c r="R172" s="78"/>
      <c r="S172" s="78"/>
    </row>
    <row r="173" ht="24.0" customHeight="1">
      <c r="A173" s="78"/>
      <c r="B173" s="78"/>
      <c r="C173" s="97" t="str">
        <f t="array" ref="C173">IF(B173="","",IFERROR(INDEX(Programs!$C$6:$C$205,MATCH(B173,Programs!$A$6:$A$205,0)),""))</f>
        <v/>
      </c>
      <c r="D173" s="97" t="str">
        <f t="array" ref="D173">IF(B173="","",IFERROR(INDEX(Programs!$B$6:$B$205,MATCH(B173,Programs!$A$6:$A$205,0)),""))</f>
        <v/>
      </c>
      <c r="E173" s="99"/>
      <c r="F173" s="99"/>
      <c r="G173" s="78"/>
      <c r="H173" s="74" t="str">
        <f>IF(A173="","",IF(COUNTIFS(Deadlines!$D$6:$D$205,A173,Deadlines!$H$6:$H$205,"&lt;&gt;Completed",Deadlines!$G$6:$G$205,"&lt;&gt;")=0,"",MINIFS(Deadlines!$G$6:$G$205,Deadlines!$D$6:$D$205,A173,Deadlines!$H$6:$H$205,"&lt;&gt;Completed")))</f>
        <v/>
      </c>
      <c r="I173" s="66" t="str">
        <f t="shared" si="1"/>
        <v/>
      </c>
      <c r="J173" s="66" t="str">
        <f>IF(A173="","",COUNTIFS(Tasks!$D$6:$D$205,A173,Tasks!$G$6:$G$205,"&lt;&gt;Done",Tasks!$H$6:$H$205,TRUE)+COUNTIFS(Documents!$K$6:$K$205,A173,Documents!$G$6:$G$205,"&lt;&gt;Ready")+COUNTIFS(Essays!$C$6:$C$205,A173,Essays!$G$6:$G$205,"&lt;&gt;Final")+COUNTIFS(Recommenders!$G$6:$G$205,A173,Recommenders!$H$6:$H$205,"&lt;&gt;Submitted"))</f>
        <v/>
      </c>
      <c r="K173" s="104"/>
      <c r="L173" s="99"/>
      <c r="M173" s="99"/>
      <c r="N173" s="65"/>
      <c r="O173" s="99"/>
      <c r="P173" s="65"/>
      <c r="Q173" s="78"/>
      <c r="R173" s="78"/>
      <c r="S173" s="78"/>
    </row>
    <row r="174" ht="24.0" customHeight="1">
      <c r="A174" s="78"/>
      <c r="B174" s="78"/>
      <c r="C174" s="97" t="str">
        <f t="array" ref="C174">IF(B174="","",IFERROR(INDEX(Programs!$C$6:$C$205,MATCH(B174,Programs!$A$6:$A$205,0)),""))</f>
        <v/>
      </c>
      <c r="D174" s="97" t="str">
        <f t="array" ref="D174">IF(B174="","",IFERROR(INDEX(Programs!$B$6:$B$205,MATCH(B174,Programs!$A$6:$A$205,0)),""))</f>
        <v/>
      </c>
      <c r="E174" s="99"/>
      <c r="F174" s="99"/>
      <c r="G174" s="78"/>
      <c r="H174" s="74" t="str">
        <f>IF(A174="","",IF(COUNTIFS(Deadlines!$D$6:$D$205,A174,Deadlines!$H$6:$H$205,"&lt;&gt;Completed",Deadlines!$G$6:$G$205,"&lt;&gt;")=0,"",MINIFS(Deadlines!$G$6:$G$205,Deadlines!$D$6:$D$205,A174,Deadlines!$H$6:$H$205,"&lt;&gt;Completed")))</f>
        <v/>
      </c>
      <c r="I174" s="66" t="str">
        <f t="shared" si="1"/>
        <v/>
      </c>
      <c r="J174" s="66" t="str">
        <f>IF(A174="","",COUNTIFS(Tasks!$D$6:$D$205,A174,Tasks!$G$6:$G$205,"&lt;&gt;Done",Tasks!$H$6:$H$205,TRUE)+COUNTIFS(Documents!$K$6:$K$205,A174,Documents!$G$6:$G$205,"&lt;&gt;Ready")+COUNTIFS(Essays!$C$6:$C$205,A174,Essays!$G$6:$G$205,"&lt;&gt;Final")+COUNTIFS(Recommenders!$G$6:$G$205,A174,Recommenders!$H$6:$H$205,"&lt;&gt;Submitted"))</f>
        <v/>
      </c>
      <c r="K174" s="104"/>
      <c r="L174" s="99"/>
      <c r="M174" s="99"/>
      <c r="N174" s="65"/>
      <c r="O174" s="99"/>
      <c r="P174" s="65"/>
      <c r="Q174" s="78"/>
      <c r="R174" s="78"/>
      <c r="S174" s="78"/>
    </row>
    <row r="175" ht="24.0" customHeight="1">
      <c r="A175" s="78"/>
      <c r="B175" s="78"/>
      <c r="C175" s="97" t="str">
        <f t="array" ref="C175">IF(B175="","",IFERROR(INDEX(Programs!$C$6:$C$205,MATCH(B175,Programs!$A$6:$A$205,0)),""))</f>
        <v/>
      </c>
      <c r="D175" s="97" t="str">
        <f t="array" ref="D175">IF(B175="","",IFERROR(INDEX(Programs!$B$6:$B$205,MATCH(B175,Programs!$A$6:$A$205,0)),""))</f>
        <v/>
      </c>
      <c r="E175" s="99"/>
      <c r="F175" s="99"/>
      <c r="G175" s="78"/>
      <c r="H175" s="74" t="str">
        <f>IF(A175="","",IF(COUNTIFS(Deadlines!$D$6:$D$205,A175,Deadlines!$H$6:$H$205,"&lt;&gt;Completed",Deadlines!$G$6:$G$205,"&lt;&gt;")=0,"",MINIFS(Deadlines!$G$6:$G$205,Deadlines!$D$6:$D$205,A175,Deadlines!$H$6:$H$205,"&lt;&gt;Completed")))</f>
        <v/>
      </c>
      <c r="I175" s="66" t="str">
        <f t="shared" si="1"/>
        <v/>
      </c>
      <c r="J175" s="66" t="str">
        <f>IF(A175="","",COUNTIFS(Tasks!$D$6:$D$205,A175,Tasks!$G$6:$G$205,"&lt;&gt;Done",Tasks!$H$6:$H$205,TRUE)+COUNTIFS(Documents!$K$6:$K$205,A175,Documents!$G$6:$G$205,"&lt;&gt;Ready")+COUNTIFS(Essays!$C$6:$C$205,A175,Essays!$G$6:$G$205,"&lt;&gt;Final")+COUNTIFS(Recommenders!$G$6:$G$205,A175,Recommenders!$H$6:$H$205,"&lt;&gt;Submitted"))</f>
        <v/>
      </c>
      <c r="K175" s="104"/>
      <c r="L175" s="99"/>
      <c r="M175" s="99"/>
      <c r="N175" s="65"/>
      <c r="O175" s="99"/>
      <c r="P175" s="65"/>
      <c r="Q175" s="78"/>
      <c r="R175" s="78"/>
      <c r="S175" s="78"/>
    </row>
    <row r="176" ht="24.0" customHeight="1">
      <c r="A176" s="78"/>
      <c r="B176" s="78"/>
      <c r="C176" s="97" t="str">
        <f t="array" ref="C176">IF(B176="","",IFERROR(INDEX(Programs!$C$6:$C$205,MATCH(B176,Programs!$A$6:$A$205,0)),""))</f>
        <v/>
      </c>
      <c r="D176" s="97" t="str">
        <f t="array" ref="D176">IF(B176="","",IFERROR(INDEX(Programs!$B$6:$B$205,MATCH(B176,Programs!$A$6:$A$205,0)),""))</f>
        <v/>
      </c>
      <c r="E176" s="99"/>
      <c r="F176" s="99"/>
      <c r="G176" s="78"/>
      <c r="H176" s="74" t="str">
        <f>IF(A176="","",IF(COUNTIFS(Deadlines!$D$6:$D$205,A176,Deadlines!$H$6:$H$205,"&lt;&gt;Completed",Deadlines!$G$6:$G$205,"&lt;&gt;")=0,"",MINIFS(Deadlines!$G$6:$G$205,Deadlines!$D$6:$D$205,A176,Deadlines!$H$6:$H$205,"&lt;&gt;Completed")))</f>
        <v/>
      </c>
      <c r="I176" s="66" t="str">
        <f t="shared" si="1"/>
        <v/>
      </c>
      <c r="J176" s="66" t="str">
        <f>IF(A176="","",COUNTIFS(Tasks!$D$6:$D$205,A176,Tasks!$G$6:$G$205,"&lt;&gt;Done",Tasks!$H$6:$H$205,TRUE)+COUNTIFS(Documents!$K$6:$K$205,A176,Documents!$G$6:$G$205,"&lt;&gt;Ready")+COUNTIFS(Essays!$C$6:$C$205,A176,Essays!$G$6:$G$205,"&lt;&gt;Final")+COUNTIFS(Recommenders!$G$6:$G$205,A176,Recommenders!$H$6:$H$205,"&lt;&gt;Submitted"))</f>
        <v/>
      </c>
      <c r="K176" s="104"/>
      <c r="L176" s="99"/>
      <c r="M176" s="99"/>
      <c r="N176" s="65"/>
      <c r="O176" s="99"/>
      <c r="P176" s="65"/>
      <c r="Q176" s="78"/>
      <c r="R176" s="78"/>
      <c r="S176" s="78"/>
    </row>
    <row r="177" ht="24.0" customHeight="1">
      <c r="A177" s="78"/>
      <c r="B177" s="78"/>
      <c r="C177" s="97" t="str">
        <f t="array" ref="C177">IF(B177="","",IFERROR(INDEX(Programs!$C$6:$C$205,MATCH(B177,Programs!$A$6:$A$205,0)),""))</f>
        <v/>
      </c>
      <c r="D177" s="97" t="str">
        <f t="array" ref="D177">IF(B177="","",IFERROR(INDEX(Programs!$B$6:$B$205,MATCH(B177,Programs!$A$6:$A$205,0)),""))</f>
        <v/>
      </c>
      <c r="E177" s="99"/>
      <c r="F177" s="99"/>
      <c r="G177" s="78"/>
      <c r="H177" s="74" t="str">
        <f>IF(A177="","",IF(COUNTIFS(Deadlines!$D$6:$D$205,A177,Deadlines!$H$6:$H$205,"&lt;&gt;Completed",Deadlines!$G$6:$G$205,"&lt;&gt;")=0,"",MINIFS(Deadlines!$G$6:$G$205,Deadlines!$D$6:$D$205,A177,Deadlines!$H$6:$H$205,"&lt;&gt;Completed")))</f>
        <v/>
      </c>
      <c r="I177" s="66" t="str">
        <f t="shared" si="1"/>
        <v/>
      </c>
      <c r="J177" s="66" t="str">
        <f>IF(A177="","",COUNTIFS(Tasks!$D$6:$D$205,A177,Tasks!$G$6:$G$205,"&lt;&gt;Done",Tasks!$H$6:$H$205,TRUE)+COUNTIFS(Documents!$K$6:$K$205,A177,Documents!$G$6:$G$205,"&lt;&gt;Ready")+COUNTIFS(Essays!$C$6:$C$205,A177,Essays!$G$6:$G$205,"&lt;&gt;Final")+COUNTIFS(Recommenders!$G$6:$G$205,A177,Recommenders!$H$6:$H$205,"&lt;&gt;Submitted"))</f>
        <v/>
      </c>
      <c r="K177" s="104"/>
      <c r="L177" s="99"/>
      <c r="M177" s="99"/>
      <c r="N177" s="65"/>
      <c r="O177" s="99"/>
      <c r="P177" s="65"/>
      <c r="Q177" s="78"/>
      <c r="R177" s="78"/>
      <c r="S177" s="78"/>
    </row>
    <row r="178" ht="24.0" customHeight="1">
      <c r="A178" s="78"/>
      <c r="B178" s="78"/>
      <c r="C178" s="97" t="str">
        <f t="array" ref="C178">IF(B178="","",IFERROR(INDEX(Programs!$C$6:$C$205,MATCH(B178,Programs!$A$6:$A$205,0)),""))</f>
        <v/>
      </c>
      <c r="D178" s="97" t="str">
        <f t="array" ref="D178">IF(B178="","",IFERROR(INDEX(Programs!$B$6:$B$205,MATCH(B178,Programs!$A$6:$A$205,0)),""))</f>
        <v/>
      </c>
      <c r="E178" s="99"/>
      <c r="F178" s="99"/>
      <c r="G178" s="78"/>
      <c r="H178" s="74" t="str">
        <f>IF(A178="","",IF(COUNTIFS(Deadlines!$D$6:$D$205,A178,Deadlines!$H$6:$H$205,"&lt;&gt;Completed",Deadlines!$G$6:$G$205,"&lt;&gt;")=0,"",MINIFS(Deadlines!$G$6:$G$205,Deadlines!$D$6:$D$205,A178,Deadlines!$H$6:$H$205,"&lt;&gt;Completed")))</f>
        <v/>
      </c>
      <c r="I178" s="66" t="str">
        <f t="shared" si="1"/>
        <v/>
      </c>
      <c r="J178" s="66" t="str">
        <f>IF(A178="","",COUNTIFS(Tasks!$D$6:$D$205,A178,Tasks!$G$6:$G$205,"&lt;&gt;Done",Tasks!$H$6:$H$205,TRUE)+COUNTIFS(Documents!$K$6:$K$205,A178,Documents!$G$6:$G$205,"&lt;&gt;Ready")+COUNTIFS(Essays!$C$6:$C$205,A178,Essays!$G$6:$G$205,"&lt;&gt;Final")+COUNTIFS(Recommenders!$G$6:$G$205,A178,Recommenders!$H$6:$H$205,"&lt;&gt;Submitted"))</f>
        <v/>
      </c>
      <c r="K178" s="104"/>
      <c r="L178" s="99"/>
      <c r="M178" s="99"/>
      <c r="N178" s="65"/>
      <c r="O178" s="99"/>
      <c r="P178" s="65"/>
      <c r="Q178" s="78"/>
      <c r="R178" s="78"/>
      <c r="S178" s="78"/>
    </row>
    <row r="179" ht="24.0" customHeight="1">
      <c r="A179" s="78"/>
      <c r="B179" s="78"/>
      <c r="C179" s="97" t="str">
        <f t="array" ref="C179">IF(B179="","",IFERROR(INDEX(Programs!$C$6:$C$205,MATCH(B179,Programs!$A$6:$A$205,0)),""))</f>
        <v/>
      </c>
      <c r="D179" s="97" t="str">
        <f t="array" ref="D179">IF(B179="","",IFERROR(INDEX(Programs!$B$6:$B$205,MATCH(B179,Programs!$A$6:$A$205,0)),""))</f>
        <v/>
      </c>
      <c r="E179" s="99"/>
      <c r="F179" s="99"/>
      <c r="G179" s="78"/>
      <c r="H179" s="74" t="str">
        <f>IF(A179="","",IF(COUNTIFS(Deadlines!$D$6:$D$205,A179,Deadlines!$H$6:$H$205,"&lt;&gt;Completed",Deadlines!$G$6:$G$205,"&lt;&gt;")=0,"",MINIFS(Deadlines!$G$6:$G$205,Deadlines!$D$6:$D$205,A179,Deadlines!$H$6:$H$205,"&lt;&gt;Completed")))</f>
        <v/>
      </c>
      <c r="I179" s="66" t="str">
        <f t="shared" si="1"/>
        <v/>
      </c>
      <c r="J179" s="66" t="str">
        <f>IF(A179="","",COUNTIFS(Tasks!$D$6:$D$205,A179,Tasks!$G$6:$G$205,"&lt;&gt;Done",Tasks!$H$6:$H$205,TRUE)+COUNTIFS(Documents!$K$6:$K$205,A179,Documents!$G$6:$G$205,"&lt;&gt;Ready")+COUNTIFS(Essays!$C$6:$C$205,A179,Essays!$G$6:$G$205,"&lt;&gt;Final")+COUNTIFS(Recommenders!$G$6:$G$205,A179,Recommenders!$H$6:$H$205,"&lt;&gt;Submitted"))</f>
        <v/>
      </c>
      <c r="K179" s="104"/>
      <c r="L179" s="99"/>
      <c r="M179" s="99"/>
      <c r="N179" s="65"/>
      <c r="O179" s="99"/>
      <c r="P179" s="65"/>
      <c r="Q179" s="78"/>
      <c r="R179" s="78"/>
      <c r="S179" s="78"/>
    </row>
    <row r="180" ht="24.0" customHeight="1">
      <c r="A180" s="78"/>
      <c r="B180" s="78"/>
      <c r="C180" s="97" t="str">
        <f t="array" ref="C180">IF(B180="","",IFERROR(INDEX(Programs!$C$6:$C$205,MATCH(B180,Programs!$A$6:$A$205,0)),""))</f>
        <v/>
      </c>
      <c r="D180" s="97" t="str">
        <f t="array" ref="D180">IF(B180="","",IFERROR(INDEX(Programs!$B$6:$B$205,MATCH(B180,Programs!$A$6:$A$205,0)),""))</f>
        <v/>
      </c>
      <c r="E180" s="99"/>
      <c r="F180" s="99"/>
      <c r="G180" s="78"/>
      <c r="H180" s="74" t="str">
        <f>IF(A180="","",IF(COUNTIFS(Deadlines!$D$6:$D$205,A180,Deadlines!$H$6:$H$205,"&lt;&gt;Completed",Deadlines!$G$6:$G$205,"&lt;&gt;")=0,"",MINIFS(Deadlines!$G$6:$G$205,Deadlines!$D$6:$D$205,A180,Deadlines!$H$6:$H$205,"&lt;&gt;Completed")))</f>
        <v/>
      </c>
      <c r="I180" s="66" t="str">
        <f t="shared" si="1"/>
        <v/>
      </c>
      <c r="J180" s="66" t="str">
        <f>IF(A180="","",COUNTIFS(Tasks!$D$6:$D$205,A180,Tasks!$G$6:$G$205,"&lt;&gt;Done",Tasks!$H$6:$H$205,TRUE)+COUNTIFS(Documents!$K$6:$K$205,A180,Documents!$G$6:$G$205,"&lt;&gt;Ready")+COUNTIFS(Essays!$C$6:$C$205,A180,Essays!$G$6:$G$205,"&lt;&gt;Final")+COUNTIFS(Recommenders!$G$6:$G$205,A180,Recommenders!$H$6:$H$205,"&lt;&gt;Submitted"))</f>
        <v/>
      </c>
      <c r="K180" s="104"/>
      <c r="L180" s="99"/>
      <c r="M180" s="99"/>
      <c r="N180" s="65"/>
      <c r="O180" s="99"/>
      <c r="P180" s="65"/>
      <c r="Q180" s="78"/>
      <c r="R180" s="78"/>
      <c r="S180" s="78"/>
    </row>
    <row r="181" ht="24.0" customHeight="1">
      <c r="A181" s="78"/>
      <c r="B181" s="78"/>
      <c r="C181" s="97" t="str">
        <f t="array" ref="C181">IF(B181="","",IFERROR(INDEX(Programs!$C$6:$C$205,MATCH(B181,Programs!$A$6:$A$205,0)),""))</f>
        <v/>
      </c>
      <c r="D181" s="97" t="str">
        <f t="array" ref="D181">IF(B181="","",IFERROR(INDEX(Programs!$B$6:$B$205,MATCH(B181,Programs!$A$6:$A$205,0)),""))</f>
        <v/>
      </c>
      <c r="E181" s="99"/>
      <c r="F181" s="99"/>
      <c r="G181" s="78"/>
      <c r="H181" s="74" t="str">
        <f>IF(A181="","",IF(COUNTIFS(Deadlines!$D$6:$D$205,A181,Deadlines!$H$6:$H$205,"&lt;&gt;Completed",Deadlines!$G$6:$G$205,"&lt;&gt;")=0,"",MINIFS(Deadlines!$G$6:$G$205,Deadlines!$D$6:$D$205,A181,Deadlines!$H$6:$H$205,"&lt;&gt;Completed")))</f>
        <v/>
      </c>
      <c r="I181" s="66" t="str">
        <f t="shared" si="1"/>
        <v/>
      </c>
      <c r="J181" s="66" t="str">
        <f>IF(A181="","",COUNTIFS(Tasks!$D$6:$D$205,A181,Tasks!$G$6:$G$205,"&lt;&gt;Done",Tasks!$H$6:$H$205,TRUE)+COUNTIFS(Documents!$K$6:$K$205,A181,Documents!$G$6:$G$205,"&lt;&gt;Ready")+COUNTIFS(Essays!$C$6:$C$205,A181,Essays!$G$6:$G$205,"&lt;&gt;Final")+COUNTIFS(Recommenders!$G$6:$G$205,A181,Recommenders!$H$6:$H$205,"&lt;&gt;Submitted"))</f>
        <v/>
      </c>
      <c r="K181" s="104"/>
      <c r="L181" s="99"/>
      <c r="M181" s="99"/>
      <c r="N181" s="65"/>
      <c r="O181" s="99"/>
      <c r="P181" s="65"/>
      <c r="Q181" s="78"/>
      <c r="R181" s="78"/>
      <c r="S181" s="78"/>
    </row>
    <row r="182" ht="24.0" customHeight="1">
      <c r="A182" s="78"/>
      <c r="B182" s="78"/>
      <c r="C182" s="97" t="str">
        <f t="array" ref="C182">IF(B182="","",IFERROR(INDEX(Programs!$C$6:$C$205,MATCH(B182,Programs!$A$6:$A$205,0)),""))</f>
        <v/>
      </c>
      <c r="D182" s="97" t="str">
        <f t="array" ref="D182">IF(B182="","",IFERROR(INDEX(Programs!$B$6:$B$205,MATCH(B182,Programs!$A$6:$A$205,0)),""))</f>
        <v/>
      </c>
      <c r="E182" s="99"/>
      <c r="F182" s="99"/>
      <c r="G182" s="78"/>
      <c r="H182" s="74" t="str">
        <f>IF(A182="","",IF(COUNTIFS(Deadlines!$D$6:$D$205,A182,Deadlines!$H$6:$H$205,"&lt;&gt;Completed",Deadlines!$G$6:$G$205,"&lt;&gt;")=0,"",MINIFS(Deadlines!$G$6:$G$205,Deadlines!$D$6:$D$205,A182,Deadlines!$H$6:$H$205,"&lt;&gt;Completed")))</f>
        <v/>
      </c>
      <c r="I182" s="66" t="str">
        <f t="shared" si="1"/>
        <v/>
      </c>
      <c r="J182" s="66" t="str">
        <f>IF(A182="","",COUNTIFS(Tasks!$D$6:$D$205,A182,Tasks!$G$6:$G$205,"&lt;&gt;Done",Tasks!$H$6:$H$205,TRUE)+COUNTIFS(Documents!$K$6:$K$205,A182,Documents!$G$6:$G$205,"&lt;&gt;Ready")+COUNTIFS(Essays!$C$6:$C$205,A182,Essays!$G$6:$G$205,"&lt;&gt;Final")+COUNTIFS(Recommenders!$G$6:$G$205,A182,Recommenders!$H$6:$H$205,"&lt;&gt;Submitted"))</f>
        <v/>
      </c>
      <c r="K182" s="104"/>
      <c r="L182" s="99"/>
      <c r="M182" s="99"/>
      <c r="N182" s="65"/>
      <c r="O182" s="99"/>
      <c r="P182" s="65"/>
      <c r="Q182" s="78"/>
      <c r="R182" s="78"/>
      <c r="S182" s="78"/>
    </row>
    <row r="183" ht="24.0" customHeight="1">
      <c r="A183" s="78"/>
      <c r="B183" s="78"/>
      <c r="C183" s="97" t="str">
        <f t="array" ref="C183">IF(B183="","",IFERROR(INDEX(Programs!$C$6:$C$205,MATCH(B183,Programs!$A$6:$A$205,0)),""))</f>
        <v/>
      </c>
      <c r="D183" s="97" t="str">
        <f t="array" ref="D183">IF(B183="","",IFERROR(INDEX(Programs!$B$6:$B$205,MATCH(B183,Programs!$A$6:$A$205,0)),""))</f>
        <v/>
      </c>
      <c r="E183" s="99"/>
      <c r="F183" s="99"/>
      <c r="G183" s="78"/>
      <c r="H183" s="74" t="str">
        <f>IF(A183="","",IF(COUNTIFS(Deadlines!$D$6:$D$205,A183,Deadlines!$H$6:$H$205,"&lt;&gt;Completed",Deadlines!$G$6:$G$205,"&lt;&gt;")=0,"",MINIFS(Deadlines!$G$6:$G$205,Deadlines!$D$6:$D$205,A183,Deadlines!$H$6:$H$205,"&lt;&gt;Completed")))</f>
        <v/>
      </c>
      <c r="I183" s="66" t="str">
        <f t="shared" si="1"/>
        <v/>
      </c>
      <c r="J183" s="66" t="str">
        <f>IF(A183="","",COUNTIFS(Tasks!$D$6:$D$205,A183,Tasks!$G$6:$G$205,"&lt;&gt;Done",Tasks!$H$6:$H$205,TRUE)+COUNTIFS(Documents!$K$6:$K$205,A183,Documents!$G$6:$G$205,"&lt;&gt;Ready")+COUNTIFS(Essays!$C$6:$C$205,A183,Essays!$G$6:$G$205,"&lt;&gt;Final")+COUNTIFS(Recommenders!$G$6:$G$205,A183,Recommenders!$H$6:$H$205,"&lt;&gt;Submitted"))</f>
        <v/>
      </c>
      <c r="K183" s="104"/>
      <c r="L183" s="99"/>
      <c r="M183" s="99"/>
      <c r="N183" s="65"/>
      <c r="O183" s="99"/>
      <c r="P183" s="65"/>
      <c r="Q183" s="78"/>
      <c r="R183" s="78"/>
      <c r="S183" s="78"/>
    </row>
    <row r="184" ht="24.0" customHeight="1">
      <c r="A184" s="78"/>
      <c r="B184" s="78"/>
      <c r="C184" s="97" t="str">
        <f t="array" ref="C184">IF(B184="","",IFERROR(INDEX(Programs!$C$6:$C$205,MATCH(B184,Programs!$A$6:$A$205,0)),""))</f>
        <v/>
      </c>
      <c r="D184" s="97" t="str">
        <f t="array" ref="D184">IF(B184="","",IFERROR(INDEX(Programs!$B$6:$B$205,MATCH(B184,Programs!$A$6:$A$205,0)),""))</f>
        <v/>
      </c>
      <c r="E184" s="99"/>
      <c r="F184" s="99"/>
      <c r="G184" s="78"/>
      <c r="H184" s="74" t="str">
        <f>IF(A184="","",IF(COUNTIFS(Deadlines!$D$6:$D$205,A184,Deadlines!$H$6:$H$205,"&lt;&gt;Completed",Deadlines!$G$6:$G$205,"&lt;&gt;")=0,"",MINIFS(Deadlines!$G$6:$G$205,Deadlines!$D$6:$D$205,A184,Deadlines!$H$6:$H$205,"&lt;&gt;Completed")))</f>
        <v/>
      </c>
      <c r="I184" s="66" t="str">
        <f t="shared" si="1"/>
        <v/>
      </c>
      <c r="J184" s="66" t="str">
        <f>IF(A184="","",COUNTIFS(Tasks!$D$6:$D$205,A184,Tasks!$G$6:$G$205,"&lt;&gt;Done",Tasks!$H$6:$H$205,TRUE)+COUNTIFS(Documents!$K$6:$K$205,A184,Documents!$G$6:$G$205,"&lt;&gt;Ready")+COUNTIFS(Essays!$C$6:$C$205,A184,Essays!$G$6:$G$205,"&lt;&gt;Final")+COUNTIFS(Recommenders!$G$6:$G$205,A184,Recommenders!$H$6:$H$205,"&lt;&gt;Submitted"))</f>
        <v/>
      </c>
      <c r="K184" s="104"/>
      <c r="L184" s="99"/>
      <c r="M184" s="99"/>
      <c r="N184" s="65"/>
      <c r="O184" s="99"/>
      <c r="P184" s="65"/>
      <c r="Q184" s="78"/>
      <c r="R184" s="78"/>
      <c r="S184" s="78"/>
    </row>
    <row r="185" ht="24.0" customHeight="1">
      <c r="A185" s="78"/>
      <c r="B185" s="78"/>
      <c r="C185" s="97" t="str">
        <f t="array" ref="C185">IF(B185="","",IFERROR(INDEX(Programs!$C$6:$C$205,MATCH(B185,Programs!$A$6:$A$205,0)),""))</f>
        <v/>
      </c>
      <c r="D185" s="97" t="str">
        <f t="array" ref="D185">IF(B185="","",IFERROR(INDEX(Programs!$B$6:$B$205,MATCH(B185,Programs!$A$6:$A$205,0)),""))</f>
        <v/>
      </c>
      <c r="E185" s="99"/>
      <c r="F185" s="99"/>
      <c r="G185" s="78"/>
      <c r="H185" s="74" t="str">
        <f>IF(A185="","",IF(COUNTIFS(Deadlines!$D$6:$D$205,A185,Deadlines!$H$6:$H$205,"&lt;&gt;Completed",Deadlines!$G$6:$G$205,"&lt;&gt;")=0,"",MINIFS(Deadlines!$G$6:$G$205,Deadlines!$D$6:$D$205,A185,Deadlines!$H$6:$H$205,"&lt;&gt;Completed")))</f>
        <v/>
      </c>
      <c r="I185" s="66" t="str">
        <f t="shared" si="1"/>
        <v/>
      </c>
      <c r="J185" s="66" t="str">
        <f>IF(A185="","",COUNTIFS(Tasks!$D$6:$D$205,A185,Tasks!$G$6:$G$205,"&lt;&gt;Done",Tasks!$H$6:$H$205,TRUE)+COUNTIFS(Documents!$K$6:$K$205,A185,Documents!$G$6:$G$205,"&lt;&gt;Ready")+COUNTIFS(Essays!$C$6:$C$205,A185,Essays!$G$6:$G$205,"&lt;&gt;Final")+COUNTIFS(Recommenders!$G$6:$G$205,A185,Recommenders!$H$6:$H$205,"&lt;&gt;Submitted"))</f>
        <v/>
      </c>
      <c r="K185" s="104"/>
      <c r="L185" s="99"/>
      <c r="M185" s="99"/>
      <c r="N185" s="65"/>
      <c r="O185" s="99"/>
      <c r="P185" s="65"/>
      <c r="Q185" s="78"/>
      <c r="R185" s="78"/>
      <c r="S185" s="78"/>
    </row>
    <row r="186" ht="24.0" customHeight="1">
      <c r="A186" s="78"/>
      <c r="B186" s="78"/>
      <c r="C186" s="97" t="str">
        <f t="array" ref="C186">IF(B186="","",IFERROR(INDEX(Programs!$C$6:$C$205,MATCH(B186,Programs!$A$6:$A$205,0)),""))</f>
        <v/>
      </c>
      <c r="D186" s="97" t="str">
        <f t="array" ref="D186">IF(B186="","",IFERROR(INDEX(Programs!$B$6:$B$205,MATCH(B186,Programs!$A$6:$A$205,0)),""))</f>
        <v/>
      </c>
      <c r="E186" s="99"/>
      <c r="F186" s="99"/>
      <c r="G186" s="78"/>
      <c r="H186" s="74" t="str">
        <f>IF(A186="","",IF(COUNTIFS(Deadlines!$D$6:$D$205,A186,Deadlines!$H$6:$H$205,"&lt;&gt;Completed",Deadlines!$G$6:$G$205,"&lt;&gt;")=0,"",MINIFS(Deadlines!$G$6:$G$205,Deadlines!$D$6:$D$205,A186,Deadlines!$H$6:$H$205,"&lt;&gt;Completed")))</f>
        <v/>
      </c>
      <c r="I186" s="66" t="str">
        <f t="shared" si="1"/>
        <v/>
      </c>
      <c r="J186" s="66" t="str">
        <f>IF(A186="","",COUNTIFS(Tasks!$D$6:$D$205,A186,Tasks!$G$6:$G$205,"&lt;&gt;Done",Tasks!$H$6:$H$205,TRUE)+COUNTIFS(Documents!$K$6:$K$205,A186,Documents!$G$6:$G$205,"&lt;&gt;Ready")+COUNTIFS(Essays!$C$6:$C$205,A186,Essays!$G$6:$G$205,"&lt;&gt;Final")+COUNTIFS(Recommenders!$G$6:$G$205,A186,Recommenders!$H$6:$H$205,"&lt;&gt;Submitted"))</f>
        <v/>
      </c>
      <c r="K186" s="104"/>
      <c r="L186" s="99"/>
      <c r="M186" s="99"/>
      <c r="N186" s="65"/>
      <c r="O186" s="99"/>
      <c r="P186" s="65"/>
      <c r="Q186" s="78"/>
      <c r="R186" s="78"/>
      <c r="S186" s="78"/>
    </row>
    <row r="187" ht="24.0" customHeight="1">
      <c r="A187" s="78"/>
      <c r="B187" s="78"/>
      <c r="C187" s="97" t="str">
        <f t="array" ref="C187">IF(B187="","",IFERROR(INDEX(Programs!$C$6:$C$205,MATCH(B187,Programs!$A$6:$A$205,0)),""))</f>
        <v/>
      </c>
      <c r="D187" s="97" t="str">
        <f t="array" ref="D187">IF(B187="","",IFERROR(INDEX(Programs!$B$6:$B$205,MATCH(B187,Programs!$A$6:$A$205,0)),""))</f>
        <v/>
      </c>
      <c r="E187" s="99"/>
      <c r="F187" s="99"/>
      <c r="G187" s="78"/>
      <c r="H187" s="74" t="str">
        <f>IF(A187="","",IF(COUNTIFS(Deadlines!$D$6:$D$205,A187,Deadlines!$H$6:$H$205,"&lt;&gt;Completed",Deadlines!$G$6:$G$205,"&lt;&gt;")=0,"",MINIFS(Deadlines!$G$6:$G$205,Deadlines!$D$6:$D$205,A187,Deadlines!$H$6:$H$205,"&lt;&gt;Completed")))</f>
        <v/>
      </c>
      <c r="I187" s="66" t="str">
        <f t="shared" si="1"/>
        <v/>
      </c>
      <c r="J187" s="66" t="str">
        <f>IF(A187="","",COUNTIFS(Tasks!$D$6:$D$205,A187,Tasks!$G$6:$G$205,"&lt;&gt;Done",Tasks!$H$6:$H$205,TRUE)+COUNTIFS(Documents!$K$6:$K$205,A187,Documents!$G$6:$G$205,"&lt;&gt;Ready")+COUNTIFS(Essays!$C$6:$C$205,A187,Essays!$G$6:$G$205,"&lt;&gt;Final")+COUNTIFS(Recommenders!$G$6:$G$205,A187,Recommenders!$H$6:$H$205,"&lt;&gt;Submitted"))</f>
        <v/>
      </c>
      <c r="K187" s="104"/>
      <c r="L187" s="99"/>
      <c r="M187" s="99"/>
      <c r="N187" s="65"/>
      <c r="O187" s="99"/>
      <c r="P187" s="65"/>
      <c r="Q187" s="78"/>
      <c r="R187" s="78"/>
      <c r="S187" s="78"/>
    </row>
    <row r="188" ht="24.0" customHeight="1">
      <c r="A188" s="78"/>
      <c r="B188" s="78"/>
      <c r="C188" s="97" t="str">
        <f t="array" ref="C188">IF(B188="","",IFERROR(INDEX(Programs!$C$6:$C$205,MATCH(B188,Programs!$A$6:$A$205,0)),""))</f>
        <v/>
      </c>
      <c r="D188" s="97" t="str">
        <f t="array" ref="D188">IF(B188="","",IFERROR(INDEX(Programs!$B$6:$B$205,MATCH(B188,Programs!$A$6:$A$205,0)),""))</f>
        <v/>
      </c>
      <c r="E188" s="99"/>
      <c r="F188" s="99"/>
      <c r="G188" s="78"/>
      <c r="H188" s="74" t="str">
        <f>IF(A188="","",IF(COUNTIFS(Deadlines!$D$6:$D$205,A188,Deadlines!$H$6:$H$205,"&lt;&gt;Completed",Deadlines!$G$6:$G$205,"&lt;&gt;")=0,"",MINIFS(Deadlines!$G$6:$G$205,Deadlines!$D$6:$D$205,A188,Deadlines!$H$6:$H$205,"&lt;&gt;Completed")))</f>
        <v/>
      </c>
      <c r="I188" s="66" t="str">
        <f t="shared" si="1"/>
        <v/>
      </c>
      <c r="J188" s="66" t="str">
        <f>IF(A188="","",COUNTIFS(Tasks!$D$6:$D$205,A188,Tasks!$G$6:$G$205,"&lt;&gt;Done",Tasks!$H$6:$H$205,TRUE)+COUNTIFS(Documents!$K$6:$K$205,A188,Documents!$G$6:$G$205,"&lt;&gt;Ready")+COUNTIFS(Essays!$C$6:$C$205,A188,Essays!$G$6:$G$205,"&lt;&gt;Final")+COUNTIFS(Recommenders!$G$6:$G$205,A188,Recommenders!$H$6:$H$205,"&lt;&gt;Submitted"))</f>
        <v/>
      </c>
      <c r="K188" s="104"/>
      <c r="L188" s="99"/>
      <c r="M188" s="99"/>
      <c r="N188" s="65"/>
      <c r="O188" s="99"/>
      <c r="P188" s="65"/>
      <c r="Q188" s="78"/>
      <c r="R188" s="78"/>
      <c r="S188" s="78"/>
    </row>
    <row r="189" ht="24.0" customHeight="1">
      <c r="A189" s="78"/>
      <c r="B189" s="78"/>
      <c r="C189" s="97" t="str">
        <f t="array" ref="C189">IF(B189="","",IFERROR(INDEX(Programs!$C$6:$C$205,MATCH(B189,Programs!$A$6:$A$205,0)),""))</f>
        <v/>
      </c>
      <c r="D189" s="97" t="str">
        <f t="array" ref="D189">IF(B189="","",IFERROR(INDEX(Programs!$B$6:$B$205,MATCH(B189,Programs!$A$6:$A$205,0)),""))</f>
        <v/>
      </c>
      <c r="E189" s="99"/>
      <c r="F189" s="99"/>
      <c r="G189" s="78"/>
      <c r="H189" s="74" t="str">
        <f>IF(A189="","",IF(COUNTIFS(Deadlines!$D$6:$D$205,A189,Deadlines!$H$6:$H$205,"&lt;&gt;Completed",Deadlines!$G$6:$G$205,"&lt;&gt;")=0,"",MINIFS(Deadlines!$G$6:$G$205,Deadlines!$D$6:$D$205,A189,Deadlines!$H$6:$H$205,"&lt;&gt;Completed")))</f>
        <v/>
      </c>
      <c r="I189" s="66" t="str">
        <f t="shared" si="1"/>
        <v/>
      </c>
      <c r="J189" s="66" t="str">
        <f>IF(A189="","",COUNTIFS(Tasks!$D$6:$D$205,A189,Tasks!$G$6:$G$205,"&lt;&gt;Done",Tasks!$H$6:$H$205,TRUE)+COUNTIFS(Documents!$K$6:$K$205,A189,Documents!$G$6:$G$205,"&lt;&gt;Ready")+COUNTIFS(Essays!$C$6:$C$205,A189,Essays!$G$6:$G$205,"&lt;&gt;Final")+COUNTIFS(Recommenders!$G$6:$G$205,A189,Recommenders!$H$6:$H$205,"&lt;&gt;Submitted"))</f>
        <v/>
      </c>
      <c r="K189" s="104"/>
      <c r="L189" s="99"/>
      <c r="M189" s="99"/>
      <c r="N189" s="65"/>
      <c r="O189" s="99"/>
      <c r="P189" s="65"/>
      <c r="Q189" s="78"/>
      <c r="R189" s="78"/>
      <c r="S189" s="78"/>
    </row>
    <row r="190" ht="24.0" customHeight="1">
      <c r="A190" s="78"/>
      <c r="B190" s="78"/>
      <c r="C190" s="97" t="str">
        <f t="array" ref="C190">IF(B190="","",IFERROR(INDEX(Programs!$C$6:$C$205,MATCH(B190,Programs!$A$6:$A$205,0)),""))</f>
        <v/>
      </c>
      <c r="D190" s="97" t="str">
        <f t="array" ref="D190">IF(B190="","",IFERROR(INDEX(Programs!$B$6:$B$205,MATCH(B190,Programs!$A$6:$A$205,0)),""))</f>
        <v/>
      </c>
      <c r="E190" s="99"/>
      <c r="F190" s="99"/>
      <c r="G190" s="78"/>
      <c r="H190" s="74" t="str">
        <f>IF(A190="","",IF(COUNTIFS(Deadlines!$D$6:$D$205,A190,Deadlines!$H$6:$H$205,"&lt;&gt;Completed",Deadlines!$G$6:$G$205,"&lt;&gt;")=0,"",MINIFS(Deadlines!$G$6:$G$205,Deadlines!$D$6:$D$205,A190,Deadlines!$H$6:$H$205,"&lt;&gt;Completed")))</f>
        <v/>
      </c>
      <c r="I190" s="66" t="str">
        <f t="shared" si="1"/>
        <v/>
      </c>
      <c r="J190" s="66" t="str">
        <f>IF(A190="","",COUNTIFS(Tasks!$D$6:$D$205,A190,Tasks!$G$6:$G$205,"&lt;&gt;Done",Tasks!$H$6:$H$205,TRUE)+COUNTIFS(Documents!$K$6:$K$205,A190,Documents!$G$6:$G$205,"&lt;&gt;Ready")+COUNTIFS(Essays!$C$6:$C$205,A190,Essays!$G$6:$G$205,"&lt;&gt;Final")+COUNTIFS(Recommenders!$G$6:$G$205,A190,Recommenders!$H$6:$H$205,"&lt;&gt;Submitted"))</f>
        <v/>
      </c>
      <c r="K190" s="104"/>
      <c r="L190" s="99"/>
      <c r="M190" s="99"/>
      <c r="N190" s="65"/>
      <c r="O190" s="99"/>
      <c r="P190" s="65"/>
      <c r="Q190" s="78"/>
      <c r="R190" s="78"/>
      <c r="S190" s="78"/>
    </row>
    <row r="191" ht="24.0" customHeight="1">
      <c r="A191" s="78"/>
      <c r="B191" s="78"/>
      <c r="C191" s="97" t="str">
        <f t="array" ref="C191">IF(B191="","",IFERROR(INDEX(Programs!$C$6:$C$205,MATCH(B191,Programs!$A$6:$A$205,0)),""))</f>
        <v/>
      </c>
      <c r="D191" s="97" t="str">
        <f t="array" ref="D191">IF(B191="","",IFERROR(INDEX(Programs!$B$6:$B$205,MATCH(B191,Programs!$A$6:$A$205,0)),""))</f>
        <v/>
      </c>
      <c r="E191" s="99"/>
      <c r="F191" s="99"/>
      <c r="G191" s="78"/>
      <c r="H191" s="74" t="str">
        <f>IF(A191="","",IF(COUNTIFS(Deadlines!$D$6:$D$205,A191,Deadlines!$H$6:$H$205,"&lt;&gt;Completed",Deadlines!$G$6:$G$205,"&lt;&gt;")=0,"",MINIFS(Deadlines!$G$6:$G$205,Deadlines!$D$6:$D$205,A191,Deadlines!$H$6:$H$205,"&lt;&gt;Completed")))</f>
        <v/>
      </c>
      <c r="I191" s="66" t="str">
        <f t="shared" si="1"/>
        <v/>
      </c>
      <c r="J191" s="66" t="str">
        <f>IF(A191="","",COUNTIFS(Tasks!$D$6:$D$205,A191,Tasks!$G$6:$G$205,"&lt;&gt;Done",Tasks!$H$6:$H$205,TRUE)+COUNTIFS(Documents!$K$6:$K$205,A191,Documents!$G$6:$G$205,"&lt;&gt;Ready")+COUNTIFS(Essays!$C$6:$C$205,A191,Essays!$G$6:$G$205,"&lt;&gt;Final")+COUNTIFS(Recommenders!$G$6:$G$205,A191,Recommenders!$H$6:$H$205,"&lt;&gt;Submitted"))</f>
        <v/>
      </c>
      <c r="K191" s="104"/>
      <c r="L191" s="99"/>
      <c r="M191" s="99"/>
      <c r="N191" s="65"/>
      <c r="O191" s="99"/>
      <c r="P191" s="65"/>
      <c r="Q191" s="78"/>
      <c r="R191" s="78"/>
      <c r="S191" s="78"/>
    </row>
    <row r="192" ht="24.0" customHeight="1">
      <c r="A192" s="78"/>
      <c r="B192" s="78"/>
      <c r="C192" s="97" t="str">
        <f t="array" ref="C192">IF(B192="","",IFERROR(INDEX(Programs!$C$6:$C$205,MATCH(B192,Programs!$A$6:$A$205,0)),""))</f>
        <v/>
      </c>
      <c r="D192" s="97" t="str">
        <f t="array" ref="D192">IF(B192="","",IFERROR(INDEX(Programs!$B$6:$B$205,MATCH(B192,Programs!$A$6:$A$205,0)),""))</f>
        <v/>
      </c>
      <c r="E192" s="99"/>
      <c r="F192" s="99"/>
      <c r="G192" s="78"/>
      <c r="H192" s="74" t="str">
        <f>IF(A192="","",IF(COUNTIFS(Deadlines!$D$6:$D$205,A192,Deadlines!$H$6:$H$205,"&lt;&gt;Completed",Deadlines!$G$6:$G$205,"&lt;&gt;")=0,"",MINIFS(Deadlines!$G$6:$G$205,Deadlines!$D$6:$D$205,A192,Deadlines!$H$6:$H$205,"&lt;&gt;Completed")))</f>
        <v/>
      </c>
      <c r="I192" s="66" t="str">
        <f t="shared" si="1"/>
        <v/>
      </c>
      <c r="J192" s="66" t="str">
        <f>IF(A192="","",COUNTIFS(Tasks!$D$6:$D$205,A192,Tasks!$G$6:$G$205,"&lt;&gt;Done",Tasks!$H$6:$H$205,TRUE)+COUNTIFS(Documents!$K$6:$K$205,A192,Documents!$G$6:$G$205,"&lt;&gt;Ready")+COUNTIFS(Essays!$C$6:$C$205,A192,Essays!$G$6:$G$205,"&lt;&gt;Final")+COUNTIFS(Recommenders!$G$6:$G$205,A192,Recommenders!$H$6:$H$205,"&lt;&gt;Submitted"))</f>
        <v/>
      </c>
      <c r="K192" s="104"/>
      <c r="L192" s="99"/>
      <c r="M192" s="99"/>
      <c r="N192" s="65"/>
      <c r="O192" s="99"/>
      <c r="P192" s="65"/>
      <c r="Q192" s="78"/>
      <c r="R192" s="78"/>
      <c r="S192" s="78"/>
    </row>
    <row r="193" ht="24.0" customHeight="1">
      <c r="A193" s="78"/>
      <c r="B193" s="78"/>
      <c r="C193" s="97" t="str">
        <f t="array" ref="C193">IF(B193="","",IFERROR(INDEX(Programs!$C$6:$C$205,MATCH(B193,Programs!$A$6:$A$205,0)),""))</f>
        <v/>
      </c>
      <c r="D193" s="97" t="str">
        <f t="array" ref="D193">IF(B193="","",IFERROR(INDEX(Programs!$B$6:$B$205,MATCH(B193,Programs!$A$6:$A$205,0)),""))</f>
        <v/>
      </c>
      <c r="E193" s="99"/>
      <c r="F193" s="99"/>
      <c r="G193" s="78"/>
      <c r="H193" s="74" t="str">
        <f>IF(A193="","",IF(COUNTIFS(Deadlines!$D$6:$D$205,A193,Deadlines!$H$6:$H$205,"&lt;&gt;Completed",Deadlines!$G$6:$G$205,"&lt;&gt;")=0,"",MINIFS(Deadlines!$G$6:$G$205,Deadlines!$D$6:$D$205,A193,Deadlines!$H$6:$H$205,"&lt;&gt;Completed")))</f>
        <v/>
      </c>
      <c r="I193" s="66" t="str">
        <f t="shared" si="1"/>
        <v/>
      </c>
      <c r="J193" s="66" t="str">
        <f>IF(A193="","",COUNTIFS(Tasks!$D$6:$D$205,A193,Tasks!$G$6:$G$205,"&lt;&gt;Done",Tasks!$H$6:$H$205,TRUE)+COUNTIFS(Documents!$K$6:$K$205,A193,Documents!$G$6:$G$205,"&lt;&gt;Ready")+COUNTIFS(Essays!$C$6:$C$205,A193,Essays!$G$6:$G$205,"&lt;&gt;Final")+COUNTIFS(Recommenders!$G$6:$G$205,A193,Recommenders!$H$6:$H$205,"&lt;&gt;Submitted"))</f>
        <v/>
      </c>
      <c r="K193" s="104"/>
      <c r="L193" s="99"/>
      <c r="M193" s="99"/>
      <c r="N193" s="65"/>
      <c r="O193" s="99"/>
      <c r="P193" s="65"/>
      <c r="Q193" s="78"/>
      <c r="R193" s="78"/>
      <c r="S193" s="78"/>
    </row>
    <row r="194" ht="24.0" customHeight="1">
      <c r="A194" s="78"/>
      <c r="B194" s="78"/>
      <c r="C194" s="97" t="str">
        <f t="array" ref="C194">IF(B194="","",IFERROR(INDEX(Programs!$C$6:$C$205,MATCH(B194,Programs!$A$6:$A$205,0)),""))</f>
        <v/>
      </c>
      <c r="D194" s="97" t="str">
        <f t="array" ref="D194">IF(B194="","",IFERROR(INDEX(Programs!$B$6:$B$205,MATCH(B194,Programs!$A$6:$A$205,0)),""))</f>
        <v/>
      </c>
      <c r="E194" s="99"/>
      <c r="F194" s="99"/>
      <c r="G194" s="78"/>
      <c r="H194" s="74" t="str">
        <f>IF(A194="","",IF(COUNTIFS(Deadlines!$D$6:$D$205,A194,Deadlines!$H$6:$H$205,"&lt;&gt;Completed",Deadlines!$G$6:$G$205,"&lt;&gt;")=0,"",MINIFS(Deadlines!$G$6:$G$205,Deadlines!$D$6:$D$205,A194,Deadlines!$H$6:$H$205,"&lt;&gt;Completed")))</f>
        <v/>
      </c>
      <c r="I194" s="66" t="str">
        <f t="shared" si="1"/>
        <v/>
      </c>
      <c r="J194" s="66" t="str">
        <f>IF(A194="","",COUNTIFS(Tasks!$D$6:$D$205,A194,Tasks!$G$6:$G$205,"&lt;&gt;Done",Tasks!$H$6:$H$205,TRUE)+COUNTIFS(Documents!$K$6:$K$205,A194,Documents!$G$6:$G$205,"&lt;&gt;Ready")+COUNTIFS(Essays!$C$6:$C$205,A194,Essays!$G$6:$G$205,"&lt;&gt;Final")+COUNTIFS(Recommenders!$G$6:$G$205,A194,Recommenders!$H$6:$H$205,"&lt;&gt;Submitted"))</f>
        <v/>
      </c>
      <c r="K194" s="104"/>
      <c r="L194" s="99"/>
      <c r="M194" s="99"/>
      <c r="N194" s="65"/>
      <c r="O194" s="99"/>
      <c r="P194" s="65"/>
      <c r="Q194" s="78"/>
      <c r="R194" s="78"/>
      <c r="S194" s="78"/>
    </row>
    <row r="195" ht="24.0" customHeight="1">
      <c r="A195" s="78"/>
      <c r="B195" s="78"/>
      <c r="C195" s="97" t="str">
        <f t="array" ref="C195">IF(B195="","",IFERROR(INDEX(Programs!$C$6:$C$205,MATCH(B195,Programs!$A$6:$A$205,0)),""))</f>
        <v/>
      </c>
      <c r="D195" s="97" t="str">
        <f t="array" ref="D195">IF(B195="","",IFERROR(INDEX(Programs!$B$6:$B$205,MATCH(B195,Programs!$A$6:$A$205,0)),""))</f>
        <v/>
      </c>
      <c r="E195" s="99"/>
      <c r="F195" s="99"/>
      <c r="G195" s="78"/>
      <c r="H195" s="74" t="str">
        <f>IF(A195="","",IF(COUNTIFS(Deadlines!$D$6:$D$205,A195,Deadlines!$H$6:$H$205,"&lt;&gt;Completed",Deadlines!$G$6:$G$205,"&lt;&gt;")=0,"",MINIFS(Deadlines!$G$6:$G$205,Deadlines!$D$6:$D$205,A195,Deadlines!$H$6:$H$205,"&lt;&gt;Completed")))</f>
        <v/>
      </c>
      <c r="I195" s="66" t="str">
        <f t="shared" si="1"/>
        <v/>
      </c>
      <c r="J195" s="66" t="str">
        <f>IF(A195="","",COUNTIFS(Tasks!$D$6:$D$205,A195,Tasks!$G$6:$G$205,"&lt;&gt;Done",Tasks!$H$6:$H$205,TRUE)+COUNTIFS(Documents!$K$6:$K$205,A195,Documents!$G$6:$G$205,"&lt;&gt;Ready")+COUNTIFS(Essays!$C$6:$C$205,A195,Essays!$G$6:$G$205,"&lt;&gt;Final")+COUNTIFS(Recommenders!$G$6:$G$205,A195,Recommenders!$H$6:$H$205,"&lt;&gt;Submitted"))</f>
        <v/>
      </c>
      <c r="K195" s="104"/>
      <c r="L195" s="99"/>
      <c r="M195" s="99"/>
      <c r="N195" s="65"/>
      <c r="O195" s="99"/>
      <c r="P195" s="65"/>
      <c r="Q195" s="78"/>
      <c r="R195" s="78"/>
      <c r="S195" s="78"/>
    </row>
    <row r="196" ht="24.0" customHeight="1">
      <c r="A196" s="78"/>
      <c r="B196" s="78"/>
      <c r="C196" s="97" t="str">
        <f t="array" ref="C196">IF(B196="","",IFERROR(INDEX(Programs!$C$6:$C$205,MATCH(B196,Programs!$A$6:$A$205,0)),""))</f>
        <v/>
      </c>
      <c r="D196" s="97" t="str">
        <f t="array" ref="D196">IF(B196="","",IFERROR(INDEX(Programs!$B$6:$B$205,MATCH(B196,Programs!$A$6:$A$205,0)),""))</f>
        <v/>
      </c>
      <c r="E196" s="99"/>
      <c r="F196" s="99"/>
      <c r="G196" s="78"/>
      <c r="H196" s="74" t="str">
        <f>IF(A196="","",IF(COUNTIFS(Deadlines!$D$6:$D$205,A196,Deadlines!$H$6:$H$205,"&lt;&gt;Completed",Deadlines!$G$6:$G$205,"&lt;&gt;")=0,"",MINIFS(Deadlines!$G$6:$G$205,Deadlines!$D$6:$D$205,A196,Deadlines!$H$6:$H$205,"&lt;&gt;Completed")))</f>
        <v/>
      </c>
      <c r="I196" s="66" t="str">
        <f t="shared" si="1"/>
        <v/>
      </c>
      <c r="J196" s="66" t="str">
        <f>IF(A196="","",COUNTIFS(Tasks!$D$6:$D$205,A196,Tasks!$G$6:$G$205,"&lt;&gt;Done",Tasks!$H$6:$H$205,TRUE)+COUNTIFS(Documents!$K$6:$K$205,A196,Documents!$G$6:$G$205,"&lt;&gt;Ready")+COUNTIFS(Essays!$C$6:$C$205,A196,Essays!$G$6:$G$205,"&lt;&gt;Final")+COUNTIFS(Recommenders!$G$6:$G$205,A196,Recommenders!$H$6:$H$205,"&lt;&gt;Submitted"))</f>
        <v/>
      </c>
      <c r="K196" s="104"/>
      <c r="L196" s="99"/>
      <c r="M196" s="99"/>
      <c r="N196" s="65"/>
      <c r="O196" s="99"/>
      <c r="P196" s="65"/>
      <c r="Q196" s="78"/>
      <c r="R196" s="78"/>
      <c r="S196" s="78"/>
    </row>
    <row r="197" ht="24.0" customHeight="1">
      <c r="A197" s="78"/>
      <c r="B197" s="78"/>
      <c r="C197" s="97" t="str">
        <f t="array" ref="C197">IF(B197="","",IFERROR(INDEX(Programs!$C$6:$C$205,MATCH(B197,Programs!$A$6:$A$205,0)),""))</f>
        <v/>
      </c>
      <c r="D197" s="97" t="str">
        <f t="array" ref="D197">IF(B197="","",IFERROR(INDEX(Programs!$B$6:$B$205,MATCH(B197,Programs!$A$6:$A$205,0)),""))</f>
        <v/>
      </c>
      <c r="E197" s="99"/>
      <c r="F197" s="99"/>
      <c r="G197" s="78"/>
      <c r="H197" s="74" t="str">
        <f>IF(A197="","",IF(COUNTIFS(Deadlines!$D$6:$D$205,A197,Deadlines!$H$6:$H$205,"&lt;&gt;Completed",Deadlines!$G$6:$G$205,"&lt;&gt;")=0,"",MINIFS(Deadlines!$G$6:$G$205,Deadlines!$D$6:$D$205,A197,Deadlines!$H$6:$H$205,"&lt;&gt;Completed")))</f>
        <v/>
      </c>
      <c r="I197" s="66" t="str">
        <f t="shared" si="1"/>
        <v/>
      </c>
      <c r="J197" s="66" t="str">
        <f>IF(A197="","",COUNTIFS(Tasks!$D$6:$D$205,A197,Tasks!$G$6:$G$205,"&lt;&gt;Done",Tasks!$H$6:$H$205,TRUE)+COUNTIFS(Documents!$K$6:$K$205,A197,Documents!$G$6:$G$205,"&lt;&gt;Ready")+COUNTIFS(Essays!$C$6:$C$205,A197,Essays!$G$6:$G$205,"&lt;&gt;Final")+COUNTIFS(Recommenders!$G$6:$G$205,A197,Recommenders!$H$6:$H$205,"&lt;&gt;Submitted"))</f>
        <v/>
      </c>
      <c r="K197" s="104"/>
      <c r="L197" s="99"/>
      <c r="M197" s="99"/>
      <c r="N197" s="65"/>
      <c r="O197" s="99"/>
      <c r="P197" s="65"/>
      <c r="Q197" s="78"/>
      <c r="R197" s="78"/>
      <c r="S197" s="78"/>
    </row>
    <row r="198" ht="24.0" customHeight="1">
      <c r="A198" s="78"/>
      <c r="B198" s="78"/>
      <c r="C198" s="97" t="str">
        <f t="array" ref="C198">IF(B198="","",IFERROR(INDEX(Programs!$C$6:$C$205,MATCH(B198,Programs!$A$6:$A$205,0)),""))</f>
        <v/>
      </c>
      <c r="D198" s="97" t="str">
        <f t="array" ref="D198">IF(B198="","",IFERROR(INDEX(Programs!$B$6:$B$205,MATCH(B198,Programs!$A$6:$A$205,0)),""))</f>
        <v/>
      </c>
      <c r="E198" s="99"/>
      <c r="F198" s="99"/>
      <c r="G198" s="78"/>
      <c r="H198" s="74" t="str">
        <f>IF(A198="","",IF(COUNTIFS(Deadlines!$D$6:$D$205,A198,Deadlines!$H$6:$H$205,"&lt;&gt;Completed",Deadlines!$G$6:$G$205,"&lt;&gt;")=0,"",MINIFS(Deadlines!$G$6:$G$205,Deadlines!$D$6:$D$205,A198,Deadlines!$H$6:$H$205,"&lt;&gt;Completed")))</f>
        <v/>
      </c>
      <c r="I198" s="66" t="str">
        <f t="shared" si="1"/>
        <v/>
      </c>
      <c r="J198" s="66" t="str">
        <f>IF(A198="","",COUNTIFS(Tasks!$D$6:$D$205,A198,Tasks!$G$6:$G$205,"&lt;&gt;Done",Tasks!$H$6:$H$205,TRUE)+COUNTIFS(Documents!$K$6:$K$205,A198,Documents!$G$6:$G$205,"&lt;&gt;Ready")+COUNTIFS(Essays!$C$6:$C$205,A198,Essays!$G$6:$G$205,"&lt;&gt;Final")+COUNTIFS(Recommenders!$G$6:$G$205,A198,Recommenders!$H$6:$H$205,"&lt;&gt;Submitted"))</f>
        <v/>
      </c>
      <c r="K198" s="104"/>
      <c r="L198" s="99"/>
      <c r="M198" s="99"/>
      <c r="N198" s="65"/>
      <c r="O198" s="99"/>
      <c r="P198" s="65"/>
      <c r="Q198" s="78"/>
      <c r="R198" s="78"/>
      <c r="S198" s="78"/>
    </row>
    <row r="199" ht="24.0" customHeight="1">
      <c r="A199" s="78"/>
      <c r="B199" s="78"/>
      <c r="C199" s="97" t="str">
        <f t="array" ref="C199">IF(B199="","",IFERROR(INDEX(Programs!$C$6:$C$205,MATCH(B199,Programs!$A$6:$A$205,0)),""))</f>
        <v/>
      </c>
      <c r="D199" s="97" t="str">
        <f t="array" ref="D199">IF(B199="","",IFERROR(INDEX(Programs!$B$6:$B$205,MATCH(B199,Programs!$A$6:$A$205,0)),""))</f>
        <v/>
      </c>
      <c r="E199" s="99"/>
      <c r="F199" s="99"/>
      <c r="G199" s="78"/>
      <c r="H199" s="74" t="str">
        <f>IF(A199="","",IF(COUNTIFS(Deadlines!$D$6:$D$205,A199,Deadlines!$H$6:$H$205,"&lt;&gt;Completed",Deadlines!$G$6:$G$205,"&lt;&gt;")=0,"",MINIFS(Deadlines!$G$6:$G$205,Deadlines!$D$6:$D$205,A199,Deadlines!$H$6:$H$205,"&lt;&gt;Completed")))</f>
        <v/>
      </c>
      <c r="I199" s="66" t="str">
        <f t="shared" si="1"/>
        <v/>
      </c>
      <c r="J199" s="66" t="str">
        <f>IF(A199="","",COUNTIFS(Tasks!$D$6:$D$205,A199,Tasks!$G$6:$G$205,"&lt;&gt;Done",Tasks!$H$6:$H$205,TRUE)+COUNTIFS(Documents!$K$6:$K$205,A199,Documents!$G$6:$G$205,"&lt;&gt;Ready")+COUNTIFS(Essays!$C$6:$C$205,A199,Essays!$G$6:$G$205,"&lt;&gt;Final")+COUNTIFS(Recommenders!$G$6:$G$205,A199,Recommenders!$H$6:$H$205,"&lt;&gt;Submitted"))</f>
        <v/>
      </c>
      <c r="K199" s="104"/>
      <c r="L199" s="99"/>
      <c r="M199" s="99"/>
      <c r="N199" s="65"/>
      <c r="O199" s="99"/>
      <c r="P199" s="65"/>
      <c r="Q199" s="78"/>
      <c r="R199" s="78"/>
      <c r="S199" s="78"/>
    </row>
    <row r="200" ht="24.0" customHeight="1">
      <c r="A200" s="78"/>
      <c r="B200" s="78"/>
      <c r="C200" s="97" t="str">
        <f t="array" ref="C200">IF(B200="","",IFERROR(INDEX(Programs!$C$6:$C$205,MATCH(B200,Programs!$A$6:$A$205,0)),""))</f>
        <v/>
      </c>
      <c r="D200" s="97" t="str">
        <f t="array" ref="D200">IF(B200="","",IFERROR(INDEX(Programs!$B$6:$B$205,MATCH(B200,Programs!$A$6:$A$205,0)),""))</f>
        <v/>
      </c>
      <c r="E200" s="99"/>
      <c r="F200" s="99"/>
      <c r="G200" s="78"/>
      <c r="H200" s="74" t="str">
        <f>IF(A200="","",IF(COUNTIFS(Deadlines!$D$6:$D$205,A200,Deadlines!$H$6:$H$205,"&lt;&gt;Completed",Deadlines!$G$6:$G$205,"&lt;&gt;")=0,"",MINIFS(Deadlines!$G$6:$G$205,Deadlines!$D$6:$D$205,A200,Deadlines!$H$6:$H$205,"&lt;&gt;Completed")))</f>
        <v/>
      </c>
      <c r="I200" s="66" t="str">
        <f t="shared" si="1"/>
        <v/>
      </c>
      <c r="J200" s="66" t="str">
        <f>IF(A200="","",COUNTIFS(Tasks!$D$6:$D$205,A200,Tasks!$G$6:$G$205,"&lt;&gt;Done",Tasks!$H$6:$H$205,TRUE)+COUNTIFS(Documents!$K$6:$K$205,A200,Documents!$G$6:$G$205,"&lt;&gt;Ready")+COUNTIFS(Essays!$C$6:$C$205,A200,Essays!$G$6:$G$205,"&lt;&gt;Final")+COUNTIFS(Recommenders!$G$6:$G$205,A200,Recommenders!$H$6:$H$205,"&lt;&gt;Submitted"))</f>
        <v/>
      </c>
      <c r="K200" s="104"/>
      <c r="L200" s="99"/>
      <c r="M200" s="99"/>
      <c r="N200" s="65"/>
      <c r="O200" s="99"/>
      <c r="P200" s="65"/>
      <c r="Q200" s="78"/>
      <c r="R200" s="78"/>
      <c r="S200" s="78"/>
    </row>
    <row r="201" ht="24.0" customHeight="1">
      <c r="A201" s="78"/>
      <c r="B201" s="78"/>
      <c r="C201" s="97" t="str">
        <f t="array" ref="C201">IF(B201="","",IFERROR(INDEX(Programs!$C$6:$C$205,MATCH(B201,Programs!$A$6:$A$205,0)),""))</f>
        <v/>
      </c>
      <c r="D201" s="97" t="str">
        <f t="array" ref="D201">IF(B201="","",IFERROR(INDEX(Programs!$B$6:$B$205,MATCH(B201,Programs!$A$6:$A$205,0)),""))</f>
        <v/>
      </c>
      <c r="E201" s="99"/>
      <c r="F201" s="99"/>
      <c r="G201" s="78"/>
      <c r="H201" s="74" t="str">
        <f>IF(A201="","",IF(COUNTIFS(Deadlines!$D$6:$D$205,A201,Deadlines!$H$6:$H$205,"&lt;&gt;Completed",Deadlines!$G$6:$G$205,"&lt;&gt;")=0,"",MINIFS(Deadlines!$G$6:$G$205,Deadlines!$D$6:$D$205,A201,Deadlines!$H$6:$H$205,"&lt;&gt;Completed")))</f>
        <v/>
      </c>
      <c r="I201" s="66" t="str">
        <f t="shared" si="1"/>
        <v/>
      </c>
      <c r="J201" s="66" t="str">
        <f>IF(A201="","",COUNTIFS(Tasks!$D$6:$D$205,A201,Tasks!$G$6:$G$205,"&lt;&gt;Done",Tasks!$H$6:$H$205,TRUE)+COUNTIFS(Documents!$K$6:$K$205,A201,Documents!$G$6:$G$205,"&lt;&gt;Ready")+COUNTIFS(Essays!$C$6:$C$205,A201,Essays!$G$6:$G$205,"&lt;&gt;Final")+COUNTIFS(Recommenders!$G$6:$G$205,A201,Recommenders!$H$6:$H$205,"&lt;&gt;Submitted"))</f>
        <v/>
      </c>
      <c r="K201" s="104"/>
      <c r="L201" s="99"/>
      <c r="M201" s="99"/>
      <c r="N201" s="65"/>
      <c r="O201" s="99"/>
      <c r="P201" s="65"/>
      <c r="Q201" s="78"/>
      <c r="R201" s="78"/>
      <c r="S201" s="78"/>
    </row>
    <row r="202" ht="24.0" customHeight="1">
      <c r="A202" s="78"/>
      <c r="B202" s="78"/>
      <c r="C202" s="97" t="str">
        <f t="array" ref="C202">IF(B202="","",IFERROR(INDEX(Programs!$C$6:$C$205,MATCH(B202,Programs!$A$6:$A$205,0)),""))</f>
        <v/>
      </c>
      <c r="D202" s="97" t="str">
        <f t="array" ref="D202">IF(B202="","",IFERROR(INDEX(Programs!$B$6:$B$205,MATCH(B202,Programs!$A$6:$A$205,0)),""))</f>
        <v/>
      </c>
      <c r="E202" s="99"/>
      <c r="F202" s="99"/>
      <c r="G202" s="78"/>
      <c r="H202" s="74" t="str">
        <f>IF(A202="","",IF(COUNTIFS(Deadlines!$D$6:$D$205,A202,Deadlines!$H$6:$H$205,"&lt;&gt;Completed",Deadlines!$G$6:$G$205,"&lt;&gt;")=0,"",MINIFS(Deadlines!$G$6:$G$205,Deadlines!$D$6:$D$205,A202,Deadlines!$H$6:$H$205,"&lt;&gt;Completed")))</f>
        <v/>
      </c>
      <c r="I202" s="66" t="str">
        <f t="shared" si="1"/>
        <v/>
      </c>
      <c r="J202" s="66" t="str">
        <f>IF(A202="","",COUNTIFS(Tasks!$D$6:$D$205,A202,Tasks!$G$6:$G$205,"&lt;&gt;Done",Tasks!$H$6:$H$205,TRUE)+COUNTIFS(Documents!$K$6:$K$205,A202,Documents!$G$6:$G$205,"&lt;&gt;Ready")+COUNTIFS(Essays!$C$6:$C$205,A202,Essays!$G$6:$G$205,"&lt;&gt;Final")+COUNTIFS(Recommenders!$G$6:$G$205,A202,Recommenders!$H$6:$H$205,"&lt;&gt;Submitted"))</f>
        <v/>
      </c>
      <c r="K202" s="104"/>
      <c r="L202" s="99"/>
      <c r="M202" s="99"/>
      <c r="N202" s="65"/>
      <c r="O202" s="99"/>
      <c r="P202" s="65"/>
      <c r="Q202" s="78"/>
      <c r="R202" s="78"/>
      <c r="S202" s="78"/>
    </row>
    <row r="203" ht="24.0" customHeight="1">
      <c r="A203" s="78"/>
      <c r="B203" s="78"/>
      <c r="C203" s="97" t="str">
        <f t="array" ref="C203">IF(B203="","",IFERROR(INDEX(Programs!$C$6:$C$205,MATCH(B203,Programs!$A$6:$A$205,0)),""))</f>
        <v/>
      </c>
      <c r="D203" s="97" t="str">
        <f t="array" ref="D203">IF(B203="","",IFERROR(INDEX(Programs!$B$6:$B$205,MATCH(B203,Programs!$A$6:$A$205,0)),""))</f>
        <v/>
      </c>
      <c r="E203" s="99"/>
      <c r="F203" s="99"/>
      <c r="G203" s="78"/>
      <c r="H203" s="74" t="str">
        <f>IF(A203="","",IF(COUNTIFS(Deadlines!$D$6:$D$205,A203,Deadlines!$H$6:$H$205,"&lt;&gt;Completed",Deadlines!$G$6:$G$205,"&lt;&gt;")=0,"",MINIFS(Deadlines!$G$6:$G$205,Deadlines!$D$6:$D$205,A203,Deadlines!$H$6:$H$205,"&lt;&gt;Completed")))</f>
        <v/>
      </c>
      <c r="I203" s="66" t="str">
        <f t="shared" si="1"/>
        <v/>
      </c>
      <c r="J203" s="66" t="str">
        <f>IF(A203="","",COUNTIFS(Tasks!$D$6:$D$205,A203,Tasks!$G$6:$G$205,"&lt;&gt;Done",Tasks!$H$6:$H$205,TRUE)+COUNTIFS(Documents!$K$6:$K$205,A203,Documents!$G$6:$G$205,"&lt;&gt;Ready")+COUNTIFS(Essays!$C$6:$C$205,A203,Essays!$G$6:$G$205,"&lt;&gt;Final")+COUNTIFS(Recommenders!$G$6:$G$205,A203,Recommenders!$H$6:$H$205,"&lt;&gt;Submitted"))</f>
        <v/>
      </c>
      <c r="K203" s="104"/>
      <c r="L203" s="99"/>
      <c r="M203" s="99"/>
      <c r="N203" s="65"/>
      <c r="O203" s="99"/>
      <c r="P203" s="65"/>
      <c r="Q203" s="78"/>
      <c r="R203" s="78"/>
      <c r="S203" s="78"/>
    </row>
    <row r="204" ht="24.0" customHeight="1">
      <c r="A204" s="78"/>
      <c r="B204" s="78"/>
      <c r="C204" s="97" t="str">
        <f t="array" ref="C204">IF(B204="","",IFERROR(INDEX(Programs!$C$6:$C$205,MATCH(B204,Programs!$A$6:$A$205,0)),""))</f>
        <v/>
      </c>
      <c r="D204" s="97" t="str">
        <f t="array" ref="D204">IF(B204="","",IFERROR(INDEX(Programs!$B$6:$B$205,MATCH(B204,Programs!$A$6:$A$205,0)),""))</f>
        <v/>
      </c>
      <c r="E204" s="99"/>
      <c r="F204" s="99"/>
      <c r="G204" s="78"/>
      <c r="H204" s="74" t="str">
        <f>IF(A204="","",IF(COUNTIFS(Deadlines!$D$6:$D$205,A204,Deadlines!$H$6:$H$205,"&lt;&gt;Completed",Deadlines!$G$6:$G$205,"&lt;&gt;")=0,"",MINIFS(Deadlines!$G$6:$G$205,Deadlines!$D$6:$D$205,A204,Deadlines!$H$6:$H$205,"&lt;&gt;Completed")))</f>
        <v/>
      </c>
      <c r="I204" s="66" t="str">
        <f t="shared" si="1"/>
        <v/>
      </c>
      <c r="J204" s="66" t="str">
        <f>IF(A204="","",COUNTIFS(Tasks!$D$6:$D$205,A204,Tasks!$G$6:$G$205,"&lt;&gt;Done",Tasks!$H$6:$H$205,TRUE)+COUNTIFS(Documents!$K$6:$K$205,A204,Documents!$G$6:$G$205,"&lt;&gt;Ready")+COUNTIFS(Essays!$C$6:$C$205,A204,Essays!$G$6:$G$205,"&lt;&gt;Final")+COUNTIFS(Recommenders!$G$6:$G$205,A204,Recommenders!$H$6:$H$205,"&lt;&gt;Submitted"))</f>
        <v/>
      </c>
      <c r="K204" s="104"/>
      <c r="L204" s="99"/>
      <c r="M204" s="99"/>
      <c r="N204" s="65"/>
      <c r="O204" s="99"/>
      <c r="P204" s="65"/>
      <c r="Q204" s="78"/>
      <c r="R204" s="78"/>
      <c r="S204" s="78"/>
    </row>
    <row r="205" ht="24.0" customHeight="1">
      <c r="A205" s="78"/>
      <c r="B205" s="78"/>
      <c r="C205" s="97" t="str">
        <f t="array" ref="C205">IF(B205="","",IFERROR(INDEX(Programs!$C$6:$C$205,MATCH(B205,Programs!$A$6:$A$205,0)),""))</f>
        <v/>
      </c>
      <c r="D205" s="97" t="str">
        <f t="array" ref="D205">IF(B205="","",IFERROR(INDEX(Programs!$B$6:$B$205,MATCH(B205,Programs!$A$6:$A$205,0)),""))</f>
        <v/>
      </c>
      <c r="E205" s="99"/>
      <c r="F205" s="99"/>
      <c r="G205" s="78"/>
      <c r="H205" s="74" t="str">
        <f>IF(A205="","",IF(COUNTIFS(Deadlines!$D$6:$D$205,A205,Deadlines!$H$6:$H$205,"&lt;&gt;Completed",Deadlines!$G$6:$G$205,"&lt;&gt;")=0,"",MINIFS(Deadlines!$G$6:$G$205,Deadlines!$D$6:$D$205,A205,Deadlines!$H$6:$H$205,"&lt;&gt;Completed")))</f>
        <v/>
      </c>
      <c r="I205" s="66" t="str">
        <f t="shared" si="1"/>
        <v/>
      </c>
      <c r="J205" s="66" t="str">
        <f>IF(A205="","",COUNTIFS(Tasks!$D$6:$D$205,A205,Tasks!$G$6:$G$205,"&lt;&gt;Done",Tasks!$H$6:$H$205,TRUE)+COUNTIFS(Documents!$K$6:$K$205,A205,Documents!$G$6:$G$205,"&lt;&gt;Ready")+COUNTIFS(Essays!$C$6:$C$205,A205,Essays!$G$6:$G$205,"&lt;&gt;Final")+COUNTIFS(Recommenders!$G$6:$G$205,A205,Recommenders!$H$6:$H$205,"&lt;&gt;Submitted"))</f>
        <v/>
      </c>
      <c r="K205" s="104"/>
      <c r="L205" s="99"/>
      <c r="M205" s="99"/>
      <c r="N205" s="65"/>
      <c r="O205" s="99"/>
      <c r="P205" s="65"/>
      <c r="Q205" s="78"/>
      <c r="R205" s="78"/>
      <c r="S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A2:S2"/>
    <mergeCell ref="A3:B3"/>
  </mergeCells>
  <conditionalFormatting sqref="E6:E205">
    <cfRule type="containsText" dxfId="5" priority="1" operator="containsText" text="Submitted">
      <formula>NOT(ISERROR(SEARCH(("Submitted"),(E6))))</formula>
    </cfRule>
  </conditionalFormatting>
  <conditionalFormatting sqref="E6:E205">
    <cfRule type="containsText" dxfId="6" priority="2" operator="containsText" text="Ready">
      <formula>NOT(ISERROR(SEARCH(("Ready"),(E6))))</formula>
    </cfRule>
  </conditionalFormatting>
  <conditionalFormatting sqref="E6:E205">
    <cfRule type="containsText" dxfId="6" priority="3" operator="containsText" text="Admitted">
      <formula>NOT(ISERROR(SEARCH(("Admitted"),(E6))))</formula>
    </cfRule>
  </conditionalFormatting>
  <conditionalFormatting sqref="E6:E205">
    <cfRule type="containsText" dxfId="6" priority="4" operator="containsText" text="Awarded">
      <formula>NOT(ISERROR(SEARCH(("Awarded"),(E6))))</formula>
    </cfRule>
  </conditionalFormatting>
  <conditionalFormatting sqref="E6:E205">
    <cfRule type="containsText" dxfId="6" priority="5" operator="containsText" text="Completed">
      <formula>NOT(ISERROR(SEARCH(("Completed"),(E6))))</formula>
    </cfRule>
  </conditionalFormatting>
  <conditionalFormatting sqref="E6:E205">
    <cfRule type="containsText" dxfId="6" priority="6" operator="containsText" text="Done">
      <formula>NOT(ISERROR(SEARCH(("Done"),(E6))))</formula>
    </cfRule>
  </conditionalFormatting>
  <conditionalFormatting sqref="E6:E205">
    <cfRule type="containsText" dxfId="6" priority="7" operator="containsText" text="Final">
      <formula>NOT(ISERROR(SEARCH(("Final"),(E6))))</formula>
    </cfRule>
  </conditionalFormatting>
  <conditionalFormatting sqref="E6:E205">
    <cfRule type="containsText" dxfId="7" priority="8" operator="containsText" text="Preparing">
      <formula>NOT(ISERROR(SEARCH(("Preparing"),(E6))))</formula>
    </cfRule>
  </conditionalFormatting>
  <conditionalFormatting sqref="E6:E205">
    <cfRule type="containsText" dxfId="7" priority="9" operator="containsText" text="In Progress">
      <formula>NOT(ISERROR(SEARCH(("In Progress"),(E6))))</formula>
    </cfRule>
  </conditionalFormatting>
  <conditionalFormatting sqref="E6:E205">
    <cfRule type="containsText" dxfId="7" priority="10" operator="containsText" text="Shortlisted">
      <formula>NOT(ISERROR(SEARCH(("Shortlisted"),(E6))))</formula>
    </cfRule>
  </conditionalFormatting>
  <conditionalFormatting sqref="E6:E205">
    <cfRule type="containsText" dxfId="8" priority="11" operator="containsText" text="Researching">
      <formula>NOT(ISERROR(SEARCH(("Researching"),(E6))))</formula>
    </cfRule>
  </conditionalFormatting>
  <conditionalFormatting sqref="E6:E205">
    <cfRule type="containsText" dxfId="8" priority="12" operator="containsText" text="Exploring">
      <formula>NOT(ISERROR(SEARCH(("Exploring"),(E6))))</formula>
    </cfRule>
  </conditionalFormatting>
  <conditionalFormatting sqref="E6:E205">
    <cfRule type="containsText" dxfId="9" priority="13" operator="containsText" text="Needs Verification">
      <formula>NOT(ISERROR(SEARCH(("Needs Verification"),(E6))))</formula>
    </cfRule>
  </conditionalFormatting>
  <conditionalFormatting sqref="E6:E205">
    <cfRule type="containsText" dxfId="10" priority="14" operator="containsText" text="Overdue">
      <formula>NOT(ISERROR(SEARCH(("Overdue"),(E6))))</formula>
    </cfRule>
  </conditionalFormatting>
  <conditionalFormatting sqref="E6:E205">
    <cfRule type="containsText" dxfId="10" priority="15" operator="containsText" text="Rejected">
      <formula>NOT(ISERROR(SEARCH(("Rejected"),(E6))))</formula>
    </cfRule>
  </conditionalFormatting>
  <conditionalFormatting sqref="E6:E205">
    <cfRule type="containsText" dxfId="10" priority="16" operator="containsText" text="Blocked">
      <formula>NOT(ISERROR(SEARCH(("Blocked"),(E6))))</formula>
    </cfRule>
  </conditionalFormatting>
  <conditionalFormatting sqref="O6:O205">
    <cfRule type="containsText" dxfId="5" priority="17" operator="containsText" text="Submitted">
      <formula>NOT(ISERROR(SEARCH(("Submitted"),(O6))))</formula>
    </cfRule>
  </conditionalFormatting>
  <conditionalFormatting sqref="O6:O205">
    <cfRule type="containsText" dxfId="6" priority="18" operator="containsText" text="Ready">
      <formula>NOT(ISERROR(SEARCH(("Ready"),(O6))))</formula>
    </cfRule>
  </conditionalFormatting>
  <conditionalFormatting sqref="O6:O205">
    <cfRule type="containsText" dxfId="6" priority="19" operator="containsText" text="Admitted">
      <formula>NOT(ISERROR(SEARCH(("Admitted"),(O6))))</formula>
    </cfRule>
  </conditionalFormatting>
  <conditionalFormatting sqref="O6:O205">
    <cfRule type="containsText" dxfId="6" priority="20" operator="containsText" text="Awarded">
      <formula>NOT(ISERROR(SEARCH(("Awarded"),(O6))))</formula>
    </cfRule>
  </conditionalFormatting>
  <conditionalFormatting sqref="O6:O205">
    <cfRule type="containsText" dxfId="6" priority="21" operator="containsText" text="Completed">
      <formula>NOT(ISERROR(SEARCH(("Completed"),(O6))))</formula>
    </cfRule>
  </conditionalFormatting>
  <conditionalFormatting sqref="O6:O205">
    <cfRule type="containsText" dxfId="6" priority="22" operator="containsText" text="Done">
      <formula>NOT(ISERROR(SEARCH(("Done"),(O6))))</formula>
    </cfRule>
  </conditionalFormatting>
  <conditionalFormatting sqref="O6:O205">
    <cfRule type="containsText" dxfId="6" priority="23" operator="containsText" text="Final">
      <formula>NOT(ISERROR(SEARCH(("Final"),(O6))))</formula>
    </cfRule>
  </conditionalFormatting>
  <conditionalFormatting sqref="O6:O205">
    <cfRule type="containsText" dxfId="7" priority="24" operator="containsText" text="Preparing">
      <formula>NOT(ISERROR(SEARCH(("Preparing"),(O6))))</formula>
    </cfRule>
  </conditionalFormatting>
  <conditionalFormatting sqref="O6:O205">
    <cfRule type="containsText" dxfId="7" priority="25" operator="containsText" text="In Progress">
      <formula>NOT(ISERROR(SEARCH(("In Progress"),(O6))))</formula>
    </cfRule>
  </conditionalFormatting>
  <conditionalFormatting sqref="O6:O205">
    <cfRule type="containsText" dxfId="7" priority="26" operator="containsText" text="Shortlisted">
      <formula>NOT(ISERROR(SEARCH(("Shortlisted"),(O6))))</formula>
    </cfRule>
  </conditionalFormatting>
  <conditionalFormatting sqref="O6:O205">
    <cfRule type="containsText" dxfId="8" priority="27" operator="containsText" text="Researching">
      <formula>NOT(ISERROR(SEARCH(("Researching"),(O6))))</formula>
    </cfRule>
  </conditionalFormatting>
  <conditionalFormatting sqref="O6:O205">
    <cfRule type="containsText" dxfId="8" priority="28" operator="containsText" text="Exploring">
      <formula>NOT(ISERROR(SEARCH(("Exploring"),(O6))))</formula>
    </cfRule>
  </conditionalFormatting>
  <conditionalFormatting sqref="O6:O205">
    <cfRule type="containsText" dxfId="9" priority="29" operator="containsText" text="Needs Verification">
      <formula>NOT(ISERROR(SEARCH(("Needs Verification"),(O6))))</formula>
    </cfRule>
  </conditionalFormatting>
  <conditionalFormatting sqref="O6:O205">
    <cfRule type="containsText" dxfId="10" priority="30" operator="containsText" text="Overdue">
      <formula>NOT(ISERROR(SEARCH(("Overdue"),(O6))))</formula>
    </cfRule>
  </conditionalFormatting>
  <conditionalFormatting sqref="O6:O205">
    <cfRule type="containsText" dxfId="10" priority="31" operator="containsText" text="Rejected">
      <formula>NOT(ISERROR(SEARCH(("Rejected"),(O6))))</formula>
    </cfRule>
  </conditionalFormatting>
  <conditionalFormatting sqref="O6:O205">
    <cfRule type="containsText" dxfId="10" priority="32" operator="containsText" text="Blocked">
      <formula>NOT(ISERROR(SEARCH(("Blocked"),(O6))))</formula>
    </cfRule>
  </conditionalFormatting>
  <conditionalFormatting sqref="H6:H205">
    <cfRule type="expression" dxfId="10" priority="33">
      <formula>AND(H6&lt;&gt;"",H6&lt;TODAY())</formula>
    </cfRule>
  </conditionalFormatting>
  <conditionalFormatting sqref="H6:H205">
    <cfRule type="expression" dxfId="9" priority="34">
      <formula>AND(H6&gt;=TODAY(),H6&lt;=TODAY()+7)</formula>
    </cfRule>
  </conditionalFormatting>
  <conditionalFormatting sqref="P6:P205">
    <cfRule type="expression" dxfId="10" priority="35">
      <formula>AND(P6&lt;&gt;"",P6&lt;TODAY())</formula>
    </cfRule>
  </conditionalFormatting>
  <conditionalFormatting sqref="P6:P205">
    <cfRule type="expression" dxfId="9" priority="36">
      <formula>AND(P6&gt;=TODAY(),P6&lt;=TODAY()+7)</formula>
    </cfRule>
  </conditionalFormatting>
  <dataValidations>
    <dataValidation type="list" allowBlank="1" showErrorMessage="1" sqref="F6:F205">
      <formula1>"1,2,3,4,5"</formula1>
    </dataValidation>
    <dataValidation type="list" allowBlank="1" showErrorMessage="1" sqref="M6:M205">
      <formula1>"Unknown,Not Due,Due,Paid,Waived,Refunded"</formula1>
    </dataValidation>
    <dataValidation type="list" allowBlank="1" showErrorMessage="1" sqref="E6:E205">
      <formula1>"Researching,Shortlisted,Preparing,Ready,Submitted,Interview,Waitlisted,Admitted,Rejected,Withdrawn,Deferred,Enrolled"</formula1>
    </dataValidation>
    <dataValidation type="custom" allowBlank="1" showDropDown="1" sqref="H6:H205 N6:N205 P6:P205">
      <formula1>OR(NOT(ISERROR(DATEVALUE(H6))), AND(ISNUMBER(H6), LEFT(CELL("format", H6))="D"))</formula1>
    </dataValidation>
    <dataValidation type="list" allowBlank="1" showErrorMessage="1" sqref="L6:L205">
      <formula1>"GHS,EUR,USD,GBP,CHF,CAD,CNY,JPY,XAF,SEK,NOK,DKK,PLN,CZK,HUF"</formula1>
    </dataValidation>
    <dataValidation type="custom" allowBlank="1" showDropDown="1" sqref="I6:K205">
      <formula1>AND(ISNUMBER(I6),(NOT(OR(NOT(ISERROR(DATEVALUE(I6))), AND(ISNUMBER(I6), LEFT(CELL("format", I6))="D")))))</formula1>
    </dataValidation>
    <dataValidation allowBlank="1" showDropDown="1" sqref="A6:D205 G6:G205 Q6:S205"/>
    <dataValidation type="list" allowBlank="1" showErrorMessage="1" sqref="O6:O205">
      <formula1>"Pending,Admitted,Waitlisted,Rejected,Deferred,Enrolled,Withdrawn"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8.0"/>
    <col customWidth="1" min="3" max="3" width="32.0"/>
    <col customWidth="1" min="4" max="4" width="18.0"/>
    <col customWidth="1" min="5" max="5" width="22.0"/>
    <col customWidth="1" min="6" max="6" width="12.25"/>
    <col customWidth="1" min="7" max="7" width="16.0"/>
    <col customWidth="1" min="8" max="8" width="16.13"/>
    <col customWidth="1" min="9" max="9" width="14.63"/>
    <col customWidth="1" min="10" max="10" width="32.0"/>
    <col customWidth="1" min="11" max="11" width="15.25"/>
    <col customWidth="1" min="12" max="12" width="24.0"/>
    <col customWidth="1" min="13" max="13" width="40.0"/>
    <col customWidth="1" min="14" max="26" width="8.63"/>
  </cols>
  <sheetData>
    <row r="1" ht="33.75" customHeight="1">
      <c r="A1" s="1" t="s">
        <v>237</v>
      </c>
    </row>
    <row r="2" ht="27.75" customHeight="1">
      <c r="A2" s="2" t="s">
        <v>238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1.5" customHeight="1">
      <c r="A5" s="28" t="s">
        <v>239</v>
      </c>
      <c r="B5" s="28" t="s">
        <v>240</v>
      </c>
      <c r="C5" s="28" t="s">
        <v>241</v>
      </c>
      <c r="D5" s="28" t="s">
        <v>242</v>
      </c>
      <c r="E5" s="28" t="s">
        <v>243</v>
      </c>
      <c r="F5" s="28" t="s">
        <v>73</v>
      </c>
      <c r="G5" s="28" t="s">
        <v>245</v>
      </c>
      <c r="H5" s="28" t="s">
        <v>70</v>
      </c>
      <c r="I5" s="28" t="s">
        <v>82</v>
      </c>
      <c r="J5" s="28" t="s">
        <v>246</v>
      </c>
      <c r="K5" s="28" t="s">
        <v>84</v>
      </c>
      <c r="L5" s="28" t="s">
        <v>247</v>
      </c>
      <c r="M5" s="28" t="s">
        <v>85</v>
      </c>
      <c r="N5" s="30" t="s">
        <v>246</v>
      </c>
      <c r="O5" s="30" t="s">
        <v>84</v>
      </c>
      <c r="P5" s="30" t="s">
        <v>247</v>
      </c>
      <c r="Q5" s="30" t="s">
        <v>85</v>
      </c>
    </row>
    <row r="6" ht="24.0" customHeight="1">
      <c r="A6" s="80" t="s">
        <v>248</v>
      </c>
      <c r="B6" s="86" t="s">
        <v>249</v>
      </c>
      <c r="C6" s="82" t="s">
        <v>250</v>
      </c>
      <c r="D6" s="82" t="s">
        <v>161</v>
      </c>
      <c r="E6" s="86" t="s">
        <v>252</v>
      </c>
      <c r="F6" s="86">
        <v>5.0</v>
      </c>
      <c r="G6" s="105">
        <v>46295.0</v>
      </c>
      <c r="H6" s="86" t="s">
        <v>253</v>
      </c>
      <c r="I6" s="46">
        <f t="shared" ref="I6:I205" si="1">IF(G6="","",G6-TODAY())</f>
        <v>39</v>
      </c>
      <c r="J6" s="82" t="s">
        <v>256</v>
      </c>
      <c r="K6" s="106">
        <v>46256.0</v>
      </c>
      <c r="L6" s="82" t="s">
        <v>258</v>
      </c>
      <c r="M6" s="93" t="s">
        <v>260</v>
      </c>
    </row>
    <row r="7" ht="24.0" customHeight="1">
      <c r="A7" s="78"/>
      <c r="B7" s="99"/>
      <c r="C7" s="78"/>
      <c r="D7" s="78"/>
      <c r="E7" s="99"/>
      <c r="F7" s="99"/>
      <c r="G7" s="107"/>
      <c r="H7" s="99"/>
      <c r="I7" s="66" t="str">
        <f t="shared" si="1"/>
        <v/>
      </c>
      <c r="J7" s="78"/>
      <c r="K7" s="108"/>
      <c r="L7" s="78"/>
      <c r="M7" s="78"/>
    </row>
    <row r="8" ht="24.0" customHeight="1">
      <c r="A8" s="78"/>
      <c r="B8" s="99"/>
      <c r="C8" s="78"/>
      <c r="D8" s="78"/>
      <c r="E8" s="99"/>
      <c r="F8" s="99"/>
      <c r="G8" s="107"/>
      <c r="H8" s="99"/>
      <c r="I8" s="66" t="str">
        <f t="shared" si="1"/>
        <v/>
      </c>
      <c r="J8" s="78"/>
      <c r="K8" s="108"/>
      <c r="L8" s="78"/>
      <c r="M8" s="78"/>
    </row>
    <row r="9" ht="24.0" customHeight="1">
      <c r="A9" s="78"/>
      <c r="B9" s="99"/>
      <c r="C9" s="78"/>
      <c r="D9" s="78"/>
      <c r="E9" s="99"/>
      <c r="F9" s="99"/>
      <c r="G9" s="107"/>
      <c r="H9" s="99"/>
      <c r="I9" s="66" t="str">
        <f t="shared" si="1"/>
        <v/>
      </c>
      <c r="J9" s="78"/>
      <c r="K9" s="108"/>
      <c r="L9" s="78"/>
      <c r="M9" s="78"/>
    </row>
    <row r="10" ht="24.0" customHeight="1">
      <c r="A10" s="78"/>
      <c r="B10" s="99"/>
      <c r="C10" s="78"/>
      <c r="D10" s="78"/>
      <c r="E10" s="99"/>
      <c r="F10" s="99"/>
      <c r="G10" s="107"/>
      <c r="H10" s="99"/>
      <c r="I10" s="66" t="str">
        <f t="shared" si="1"/>
        <v/>
      </c>
      <c r="J10" s="78"/>
      <c r="K10" s="108"/>
      <c r="L10" s="78"/>
      <c r="M10" s="78"/>
    </row>
    <row r="11" ht="24.0" customHeight="1">
      <c r="A11" s="78"/>
      <c r="B11" s="99"/>
      <c r="C11" s="78"/>
      <c r="D11" s="78"/>
      <c r="E11" s="99"/>
      <c r="F11" s="99"/>
      <c r="G11" s="107"/>
      <c r="H11" s="99"/>
      <c r="I11" s="66" t="str">
        <f t="shared" si="1"/>
        <v/>
      </c>
      <c r="J11" s="78"/>
      <c r="K11" s="108"/>
      <c r="L11" s="78"/>
      <c r="M11" s="78"/>
    </row>
    <row r="12" ht="24.0" customHeight="1">
      <c r="A12" s="78"/>
      <c r="B12" s="99"/>
      <c r="C12" s="78"/>
      <c r="D12" s="78"/>
      <c r="E12" s="99"/>
      <c r="F12" s="99"/>
      <c r="G12" s="107"/>
      <c r="H12" s="99"/>
      <c r="I12" s="66" t="str">
        <f t="shared" si="1"/>
        <v/>
      </c>
      <c r="J12" s="78"/>
      <c r="K12" s="108"/>
      <c r="L12" s="78"/>
      <c r="M12" s="78"/>
    </row>
    <row r="13" ht="24.0" customHeight="1">
      <c r="A13" s="78"/>
      <c r="B13" s="99"/>
      <c r="C13" s="78"/>
      <c r="D13" s="78"/>
      <c r="E13" s="99"/>
      <c r="F13" s="99"/>
      <c r="G13" s="107"/>
      <c r="H13" s="99"/>
      <c r="I13" s="66" t="str">
        <f t="shared" si="1"/>
        <v/>
      </c>
      <c r="J13" s="78"/>
      <c r="K13" s="108"/>
      <c r="L13" s="78"/>
      <c r="M13" s="78"/>
    </row>
    <row r="14" ht="24.0" customHeight="1">
      <c r="A14" s="78"/>
      <c r="B14" s="99"/>
      <c r="C14" s="78"/>
      <c r="D14" s="78"/>
      <c r="E14" s="99"/>
      <c r="F14" s="99"/>
      <c r="G14" s="107"/>
      <c r="H14" s="99"/>
      <c r="I14" s="66" t="str">
        <f t="shared" si="1"/>
        <v/>
      </c>
      <c r="J14" s="78"/>
      <c r="K14" s="108"/>
      <c r="L14" s="78"/>
      <c r="M14" s="78"/>
    </row>
    <row r="15" ht="24.0" customHeight="1">
      <c r="A15" s="78"/>
      <c r="B15" s="99"/>
      <c r="C15" s="78"/>
      <c r="D15" s="78"/>
      <c r="E15" s="99"/>
      <c r="F15" s="99"/>
      <c r="G15" s="107"/>
      <c r="H15" s="99"/>
      <c r="I15" s="66" t="str">
        <f t="shared" si="1"/>
        <v/>
      </c>
      <c r="J15" s="78"/>
      <c r="K15" s="108"/>
      <c r="L15" s="78"/>
      <c r="M15" s="78"/>
    </row>
    <row r="16" ht="24.0" customHeight="1">
      <c r="A16" s="78"/>
      <c r="B16" s="99"/>
      <c r="C16" s="78"/>
      <c r="D16" s="78"/>
      <c r="E16" s="99"/>
      <c r="F16" s="99"/>
      <c r="G16" s="107"/>
      <c r="H16" s="99"/>
      <c r="I16" s="66" t="str">
        <f t="shared" si="1"/>
        <v/>
      </c>
      <c r="J16" s="78"/>
      <c r="K16" s="108"/>
      <c r="L16" s="78"/>
      <c r="M16" s="78"/>
    </row>
    <row r="17" ht="24.0" customHeight="1">
      <c r="A17" s="78"/>
      <c r="B17" s="99"/>
      <c r="C17" s="78"/>
      <c r="D17" s="78"/>
      <c r="E17" s="99"/>
      <c r="F17" s="99"/>
      <c r="G17" s="107"/>
      <c r="H17" s="99"/>
      <c r="I17" s="66" t="str">
        <f t="shared" si="1"/>
        <v/>
      </c>
      <c r="J17" s="78"/>
      <c r="K17" s="108"/>
      <c r="L17" s="78"/>
      <c r="M17" s="78"/>
    </row>
    <row r="18" ht="24.0" customHeight="1">
      <c r="A18" s="78"/>
      <c r="B18" s="99"/>
      <c r="C18" s="78"/>
      <c r="D18" s="78"/>
      <c r="E18" s="99"/>
      <c r="F18" s="99"/>
      <c r="G18" s="107"/>
      <c r="H18" s="99"/>
      <c r="I18" s="66" t="str">
        <f t="shared" si="1"/>
        <v/>
      </c>
      <c r="J18" s="78"/>
      <c r="K18" s="108"/>
      <c r="L18" s="78"/>
      <c r="M18" s="78"/>
    </row>
    <row r="19" ht="24.0" customHeight="1">
      <c r="A19" s="78"/>
      <c r="B19" s="99"/>
      <c r="C19" s="78"/>
      <c r="D19" s="78"/>
      <c r="E19" s="99"/>
      <c r="F19" s="99"/>
      <c r="G19" s="107"/>
      <c r="H19" s="99"/>
      <c r="I19" s="66" t="str">
        <f t="shared" si="1"/>
        <v/>
      </c>
      <c r="J19" s="78"/>
      <c r="K19" s="108"/>
      <c r="L19" s="78"/>
      <c r="M19" s="78"/>
    </row>
    <row r="20" ht="24.0" customHeight="1">
      <c r="A20" s="78"/>
      <c r="B20" s="99"/>
      <c r="C20" s="78"/>
      <c r="D20" s="78"/>
      <c r="E20" s="99"/>
      <c r="F20" s="99"/>
      <c r="G20" s="107"/>
      <c r="H20" s="99"/>
      <c r="I20" s="66" t="str">
        <f t="shared" si="1"/>
        <v/>
      </c>
      <c r="J20" s="78"/>
      <c r="K20" s="108"/>
      <c r="L20" s="78"/>
      <c r="M20" s="78"/>
    </row>
    <row r="21" ht="24.0" customHeight="1">
      <c r="A21" s="78"/>
      <c r="B21" s="99"/>
      <c r="C21" s="78"/>
      <c r="D21" s="78"/>
      <c r="E21" s="99"/>
      <c r="F21" s="99"/>
      <c r="G21" s="107"/>
      <c r="H21" s="99"/>
      <c r="I21" s="66" t="str">
        <f t="shared" si="1"/>
        <v/>
      </c>
      <c r="J21" s="78"/>
      <c r="K21" s="108"/>
      <c r="L21" s="78"/>
      <c r="M21" s="78"/>
    </row>
    <row r="22" ht="24.0" customHeight="1">
      <c r="A22" s="78"/>
      <c r="B22" s="99"/>
      <c r="C22" s="78"/>
      <c r="D22" s="78"/>
      <c r="E22" s="99"/>
      <c r="F22" s="99"/>
      <c r="G22" s="107"/>
      <c r="H22" s="99"/>
      <c r="I22" s="66" t="str">
        <f t="shared" si="1"/>
        <v/>
      </c>
      <c r="J22" s="78"/>
      <c r="K22" s="108"/>
      <c r="L22" s="78"/>
      <c r="M22" s="78"/>
    </row>
    <row r="23" ht="24.0" customHeight="1">
      <c r="A23" s="78"/>
      <c r="B23" s="99"/>
      <c r="C23" s="78"/>
      <c r="D23" s="78"/>
      <c r="E23" s="99"/>
      <c r="F23" s="99"/>
      <c r="G23" s="107"/>
      <c r="H23" s="99"/>
      <c r="I23" s="66" t="str">
        <f t="shared" si="1"/>
        <v/>
      </c>
      <c r="J23" s="78"/>
      <c r="K23" s="108"/>
      <c r="L23" s="78"/>
      <c r="M23" s="78"/>
    </row>
    <row r="24" ht="24.0" customHeight="1">
      <c r="A24" s="78"/>
      <c r="B24" s="99"/>
      <c r="C24" s="78"/>
      <c r="D24" s="78"/>
      <c r="E24" s="99"/>
      <c r="F24" s="99"/>
      <c r="G24" s="107"/>
      <c r="H24" s="99"/>
      <c r="I24" s="66" t="str">
        <f t="shared" si="1"/>
        <v/>
      </c>
      <c r="J24" s="78"/>
      <c r="K24" s="108"/>
      <c r="L24" s="78"/>
      <c r="M24" s="78"/>
    </row>
    <row r="25" ht="24.0" customHeight="1">
      <c r="A25" s="78"/>
      <c r="B25" s="99"/>
      <c r="C25" s="78"/>
      <c r="D25" s="78"/>
      <c r="E25" s="99"/>
      <c r="F25" s="99"/>
      <c r="G25" s="107"/>
      <c r="H25" s="99"/>
      <c r="I25" s="66" t="str">
        <f t="shared" si="1"/>
        <v/>
      </c>
      <c r="J25" s="78"/>
      <c r="K25" s="108"/>
      <c r="L25" s="78"/>
      <c r="M25" s="78"/>
    </row>
    <row r="26" ht="24.0" customHeight="1">
      <c r="A26" s="78"/>
      <c r="B26" s="99"/>
      <c r="C26" s="78"/>
      <c r="D26" s="78"/>
      <c r="E26" s="99"/>
      <c r="F26" s="99"/>
      <c r="G26" s="107"/>
      <c r="H26" s="99"/>
      <c r="I26" s="66" t="str">
        <f t="shared" si="1"/>
        <v/>
      </c>
      <c r="J26" s="78"/>
      <c r="K26" s="108"/>
      <c r="L26" s="78"/>
      <c r="M26" s="78"/>
    </row>
    <row r="27" ht="24.0" customHeight="1">
      <c r="A27" s="78"/>
      <c r="B27" s="99"/>
      <c r="C27" s="78"/>
      <c r="D27" s="78"/>
      <c r="E27" s="99"/>
      <c r="F27" s="99"/>
      <c r="G27" s="107"/>
      <c r="H27" s="99"/>
      <c r="I27" s="66" t="str">
        <f t="shared" si="1"/>
        <v/>
      </c>
      <c r="J27" s="78"/>
      <c r="K27" s="108"/>
      <c r="L27" s="78"/>
      <c r="M27" s="78"/>
    </row>
    <row r="28" ht="24.0" customHeight="1">
      <c r="A28" s="78"/>
      <c r="B28" s="99"/>
      <c r="C28" s="78"/>
      <c r="D28" s="78"/>
      <c r="E28" s="99"/>
      <c r="F28" s="99"/>
      <c r="G28" s="107"/>
      <c r="H28" s="99"/>
      <c r="I28" s="66" t="str">
        <f t="shared" si="1"/>
        <v/>
      </c>
      <c r="J28" s="78"/>
      <c r="K28" s="108"/>
      <c r="L28" s="78"/>
      <c r="M28" s="78"/>
    </row>
    <row r="29" ht="24.0" customHeight="1">
      <c r="A29" s="78"/>
      <c r="B29" s="99"/>
      <c r="C29" s="78"/>
      <c r="D29" s="78"/>
      <c r="E29" s="99"/>
      <c r="F29" s="99"/>
      <c r="G29" s="107"/>
      <c r="H29" s="99"/>
      <c r="I29" s="66" t="str">
        <f t="shared" si="1"/>
        <v/>
      </c>
      <c r="J29" s="78"/>
      <c r="K29" s="108"/>
      <c r="L29" s="78"/>
      <c r="M29" s="78"/>
    </row>
    <row r="30" ht="24.0" customHeight="1">
      <c r="A30" s="78"/>
      <c r="B30" s="99"/>
      <c r="C30" s="78"/>
      <c r="D30" s="78"/>
      <c r="E30" s="99"/>
      <c r="F30" s="99"/>
      <c r="G30" s="107"/>
      <c r="H30" s="99"/>
      <c r="I30" s="66" t="str">
        <f t="shared" si="1"/>
        <v/>
      </c>
      <c r="J30" s="78"/>
      <c r="K30" s="108"/>
      <c r="L30" s="78"/>
      <c r="M30" s="78"/>
    </row>
    <row r="31" ht="24.0" customHeight="1">
      <c r="A31" s="78"/>
      <c r="B31" s="99"/>
      <c r="C31" s="78"/>
      <c r="D31" s="78"/>
      <c r="E31" s="99"/>
      <c r="F31" s="99"/>
      <c r="G31" s="107"/>
      <c r="H31" s="99"/>
      <c r="I31" s="66" t="str">
        <f t="shared" si="1"/>
        <v/>
      </c>
      <c r="J31" s="78"/>
      <c r="K31" s="108"/>
      <c r="L31" s="78"/>
      <c r="M31" s="78"/>
    </row>
    <row r="32" ht="24.0" customHeight="1">
      <c r="A32" s="78"/>
      <c r="B32" s="99"/>
      <c r="C32" s="78"/>
      <c r="D32" s="78"/>
      <c r="E32" s="99"/>
      <c r="F32" s="99"/>
      <c r="G32" s="107"/>
      <c r="H32" s="99"/>
      <c r="I32" s="66" t="str">
        <f t="shared" si="1"/>
        <v/>
      </c>
      <c r="J32" s="78"/>
      <c r="K32" s="108"/>
      <c r="L32" s="78"/>
      <c r="M32" s="78"/>
    </row>
    <row r="33" ht="24.0" customHeight="1">
      <c r="A33" s="78"/>
      <c r="B33" s="99"/>
      <c r="C33" s="78"/>
      <c r="D33" s="78"/>
      <c r="E33" s="99"/>
      <c r="F33" s="99"/>
      <c r="G33" s="107"/>
      <c r="H33" s="99"/>
      <c r="I33" s="66" t="str">
        <f t="shared" si="1"/>
        <v/>
      </c>
      <c r="J33" s="78"/>
      <c r="K33" s="108"/>
      <c r="L33" s="78"/>
      <c r="M33" s="78"/>
    </row>
    <row r="34" ht="24.0" customHeight="1">
      <c r="A34" s="78"/>
      <c r="B34" s="99"/>
      <c r="C34" s="78"/>
      <c r="D34" s="78"/>
      <c r="E34" s="99"/>
      <c r="F34" s="99"/>
      <c r="G34" s="107"/>
      <c r="H34" s="99"/>
      <c r="I34" s="66" t="str">
        <f t="shared" si="1"/>
        <v/>
      </c>
      <c r="J34" s="78"/>
      <c r="K34" s="108"/>
      <c r="L34" s="78"/>
      <c r="M34" s="78"/>
    </row>
    <row r="35" ht="24.0" customHeight="1">
      <c r="A35" s="78"/>
      <c r="B35" s="99"/>
      <c r="C35" s="78"/>
      <c r="D35" s="78"/>
      <c r="E35" s="99"/>
      <c r="F35" s="99"/>
      <c r="G35" s="107"/>
      <c r="H35" s="99"/>
      <c r="I35" s="66" t="str">
        <f t="shared" si="1"/>
        <v/>
      </c>
      <c r="J35" s="78"/>
      <c r="K35" s="108"/>
      <c r="L35" s="78"/>
      <c r="M35" s="78"/>
    </row>
    <row r="36" ht="24.0" customHeight="1">
      <c r="A36" s="78"/>
      <c r="B36" s="99"/>
      <c r="C36" s="78"/>
      <c r="D36" s="78"/>
      <c r="E36" s="99"/>
      <c r="F36" s="99"/>
      <c r="G36" s="107"/>
      <c r="H36" s="99"/>
      <c r="I36" s="66" t="str">
        <f t="shared" si="1"/>
        <v/>
      </c>
      <c r="J36" s="78"/>
      <c r="K36" s="108"/>
      <c r="L36" s="78"/>
      <c r="M36" s="78"/>
    </row>
    <row r="37" ht="24.0" customHeight="1">
      <c r="A37" s="78"/>
      <c r="B37" s="99"/>
      <c r="C37" s="78"/>
      <c r="D37" s="78"/>
      <c r="E37" s="99"/>
      <c r="F37" s="99"/>
      <c r="G37" s="107"/>
      <c r="H37" s="99"/>
      <c r="I37" s="66" t="str">
        <f t="shared" si="1"/>
        <v/>
      </c>
      <c r="J37" s="78"/>
      <c r="K37" s="108"/>
      <c r="L37" s="78"/>
      <c r="M37" s="78"/>
    </row>
    <row r="38" ht="24.0" customHeight="1">
      <c r="A38" s="78"/>
      <c r="B38" s="99"/>
      <c r="C38" s="78"/>
      <c r="D38" s="78"/>
      <c r="E38" s="99"/>
      <c r="F38" s="99"/>
      <c r="G38" s="107"/>
      <c r="H38" s="99"/>
      <c r="I38" s="66" t="str">
        <f t="shared" si="1"/>
        <v/>
      </c>
      <c r="J38" s="78"/>
      <c r="K38" s="108"/>
      <c r="L38" s="78"/>
      <c r="M38" s="78"/>
    </row>
    <row r="39" ht="24.0" customHeight="1">
      <c r="A39" s="78"/>
      <c r="B39" s="99"/>
      <c r="C39" s="78"/>
      <c r="D39" s="78"/>
      <c r="E39" s="99"/>
      <c r="F39" s="99"/>
      <c r="G39" s="107"/>
      <c r="H39" s="99"/>
      <c r="I39" s="66" t="str">
        <f t="shared" si="1"/>
        <v/>
      </c>
      <c r="J39" s="78"/>
      <c r="K39" s="108"/>
      <c r="L39" s="78"/>
      <c r="M39" s="78"/>
    </row>
    <row r="40" ht="24.0" customHeight="1">
      <c r="A40" s="78"/>
      <c r="B40" s="99"/>
      <c r="C40" s="78"/>
      <c r="D40" s="78"/>
      <c r="E40" s="99"/>
      <c r="F40" s="99"/>
      <c r="G40" s="107"/>
      <c r="H40" s="99"/>
      <c r="I40" s="66" t="str">
        <f t="shared" si="1"/>
        <v/>
      </c>
      <c r="J40" s="78"/>
      <c r="K40" s="108"/>
      <c r="L40" s="78"/>
      <c r="M40" s="78"/>
    </row>
    <row r="41" ht="24.0" customHeight="1">
      <c r="A41" s="78"/>
      <c r="B41" s="99"/>
      <c r="C41" s="78"/>
      <c r="D41" s="78"/>
      <c r="E41" s="99"/>
      <c r="F41" s="99"/>
      <c r="G41" s="107"/>
      <c r="H41" s="99"/>
      <c r="I41" s="66" t="str">
        <f t="shared" si="1"/>
        <v/>
      </c>
      <c r="J41" s="78"/>
      <c r="K41" s="108"/>
      <c r="L41" s="78"/>
      <c r="M41" s="78"/>
    </row>
    <row r="42" ht="24.0" customHeight="1">
      <c r="A42" s="78"/>
      <c r="B42" s="99"/>
      <c r="C42" s="78"/>
      <c r="D42" s="78"/>
      <c r="E42" s="99"/>
      <c r="F42" s="99"/>
      <c r="G42" s="107"/>
      <c r="H42" s="99"/>
      <c r="I42" s="66" t="str">
        <f t="shared" si="1"/>
        <v/>
      </c>
      <c r="J42" s="78"/>
      <c r="K42" s="108"/>
      <c r="L42" s="78"/>
      <c r="M42" s="78"/>
    </row>
    <row r="43" ht="24.0" customHeight="1">
      <c r="A43" s="78"/>
      <c r="B43" s="99"/>
      <c r="C43" s="78"/>
      <c r="D43" s="78"/>
      <c r="E43" s="99"/>
      <c r="F43" s="99"/>
      <c r="G43" s="107"/>
      <c r="H43" s="99"/>
      <c r="I43" s="66" t="str">
        <f t="shared" si="1"/>
        <v/>
      </c>
      <c r="J43" s="78"/>
      <c r="K43" s="108"/>
      <c r="L43" s="78"/>
      <c r="M43" s="78"/>
    </row>
    <row r="44" ht="24.0" customHeight="1">
      <c r="A44" s="78"/>
      <c r="B44" s="99"/>
      <c r="C44" s="78"/>
      <c r="D44" s="78"/>
      <c r="E44" s="99"/>
      <c r="F44" s="99"/>
      <c r="G44" s="107"/>
      <c r="H44" s="99"/>
      <c r="I44" s="66" t="str">
        <f t="shared" si="1"/>
        <v/>
      </c>
      <c r="J44" s="78"/>
      <c r="K44" s="108"/>
      <c r="L44" s="78"/>
      <c r="M44" s="78"/>
    </row>
    <row r="45" ht="24.0" customHeight="1">
      <c r="A45" s="78"/>
      <c r="B45" s="99"/>
      <c r="C45" s="78"/>
      <c r="D45" s="78"/>
      <c r="E45" s="99"/>
      <c r="F45" s="99"/>
      <c r="G45" s="107"/>
      <c r="H45" s="99"/>
      <c r="I45" s="66" t="str">
        <f t="shared" si="1"/>
        <v/>
      </c>
      <c r="J45" s="78"/>
      <c r="K45" s="108"/>
      <c r="L45" s="78"/>
      <c r="M45" s="78"/>
    </row>
    <row r="46" ht="24.0" customHeight="1">
      <c r="A46" s="78"/>
      <c r="B46" s="99"/>
      <c r="C46" s="78"/>
      <c r="D46" s="78"/>
      <c r="E46" s="99"/>
      <c r="F46" s="99"/>
      <c r="G46" s="107"/>
      <c r="H46" s="99"/>
      <c r="I46" s="66" t="str">
        <f t="shared" si="1"/>
        <v/>
      </c>
      <c r="J46" s="78"/>
      <c r="K46" s="108"/>
      <c r="L46" s="78"/>
      <c r="M46" s="78"/>
    </row>
    <row r="47" ht="24.0" customHeight="1">
      <c r="A47" s="78"/>
      <c r="B47" s="99"/>
      <c r="C47" s="78"/>
      <c r="D47" s="78"/>
      <c r="E47" s="99"/>
      <c r="F47" s="99"/>
      <c r="G47" s="107"/>
      <c r="H47" s="99"/>
      <c r="I47" s="66" t="str">
        <f t="shared" si="1"/>
        <v/>
      </c>
      <c r="J47" s="78"/>
      <c r="K47" s="108"/>
      <c r="L47" s="78"/>
      <c r="M47" s="78"/>
    </row>
    <row r="48" ht="24.0" customHeight="1">
      <c r="A48" s="78"/>
      <c r="B48" s="99"/>
      <c r="C48" s="78"/>
      <c r="D48" s="78"/>
      <c r="E48" s="99"/>
      <c r="F48" s="99"/>
      <c r="G48" s="107"/>
      <c r="H48" s="99"/>
      <c r="I48" s="66" t="str">
        <f t="shared" si="1"/>
        <v/>
      </c>
      <c r="J48" s="78"/>
      <c r="K48" s="108"/>
      <c r="L48" s="78"/>
      <c r="M48" s="78"/>
    </row>
    <row r="49" ht="24.0" customHeight="1">
      <c r="A49" s="78"/>
      <c r="B49" s="99"/>
      <c r="C49" s="78"/>
      <c r="D49" s="78"/>
      <c r="E49" s="99"/>
      <c r="F49" s="99"/>
      <c r="G49" s="107"/>
      <c r="H49" s="99"/>
      <c r="I49" s="66" t="str">
        <f t="shared" si="1"/>
        <v/>
      </c>
      <c r="J49" s="78"/>
      <c r="K49" s="108"/>
      <c r="L49" s="78"/>
      <c r="M49" s="78"/>
    </row>
    <row r="50" ht="24.0" customHeight="1">
      <c r="A50" s="78"/>
      <c r="B50" s="99"/>
      <c r="C50" s="78"/>
      <c r="D50" s="78"/>
      <c r="E50" s="99"/>
      <c r="F50" s="99"/>
      <c r="G50" s="107"/>
      <c r="H50" s="99"/>
      <c r="I50" s="66" t="str">
        <f t="shared" si="1"/>
        <v/>
      </c>
      <c r="J50" s="78"/>
      <c r="K50" s="108"/>
      <c r="L50" s="78"/>
      <c r="M50" s="78"/>
    </row>
    <row r="51" ht="24.0" customHeight="1">
      <c r="A51" s="78"/>
      <c r="B51" s="99"/>
      <c r="C51" s="78"/>
      <c r="D51" s="78"/>
      <c r="E51" s="99"/>
      <c r="F51" s="99"/>
      <c r="G51" s="107"/>
      <c r="H51" s="99"/>
      <c r="I51" s="66" t="str">
        <f t="shared" si="1"/>
        <v/>
      </c>
      <c r="J51" s="78"/>
      <c r="K51" s="108"/>
      <c r="L51" s="78"/>
      <c r="M51" s="78"/>
    </row>
    <row r="52" ht="24.0" customHeight="1">
      <c r="A52" s="78"/>
      <c r="B52" s="99"/>
      <c r="C52" s="78"/>
      <c r="D52" s="78"/>
      <c r="E52" s="99"/>
      <c r="F52" s="99"/>
      <c r="G52" s="107"/>
      <c r="H52" s="99"/>
      <c r="I52" s="66" t="str">
        <f t="shared" si="1"/>
        <v/>
      </c>
      <c r="J52" s="78"/>
      <c r="K52" s="108"/>
      <c r="L52" s="78"/>
      <c r="M52" s="78"/>
    </row>
    <row r="53" ht="24.0" customHeight="1">
      <c r="A53" s="78"/>
      <c r="B53" s="99"/>
      <c r="C53" s="78"/>
      <c r="D53" s="78"/>
      <c r="E53" s="99"/>
      <c r="F53" s="99"/>
      <c r="G53" s="107"/>
      <c r="H53" s="99"/>
      <c r="I53" s="66" t="str">
        <f t="shared" si="1"/>
        <v/>
      </c>
      <c r="J53" s="78"/>
      <c r="K53" s="108"/>
      <c r="L53" s="78"/>
      <c r="M53" s="78"/>
    </row>
    <row r="54" ht="24.0" customHeight="1">
      <c r="A54" s="78"/>
      <c r="B54" s="99"/>
      <c r="C54" s="78"/>
      <c r="D54" s="78"/>
      <c r="E54" s="99"/>
      <c r="F54" s="99"/>
      <c r="G54" s="107"/>
      <c r="H54" s="99"/>
      <c r="I54" s="66" t="str">
        <f t="shared" si="1"/>
        <v/>
      </c>
      <c r="J54" s="78"/>
      <c r="K54" s="108"/>
      <c r="L54" s="78"/>
      <c r="M54" s="78"/>
    </row>
    <row r="55" ht="24.0" customHeight="1">
      <c r="A55" s="78"/>
      <c r="B55" s="99"/>
      <c r="C55" s="78"/>
      <c r="D55" s="78"/>
      <c r="E55" s="99"/>
      <c r="F55" s="99"/>
      <c r="G55" s="107"/>
      <c r="H55" s="99"/>
      <c r="I55" s="66" t="str">
        <f t="shared" si="1"/>
        <v/>
      </c>
      <c r="J55" s="78"/>
      <c r="K55" s="108"/>
      <c r="L55" s="78"/>
      <c r="M55" s="78"/>
    </row>
    <row r="56" ht="24.0" customHeight="1">
      <c r="A56" s="78"/>
      <c r="B56" s="99"/>
      <c r="C56" s="78"/>
      <c r="D56" s="78"/>
      <c r="E56" s="99"/>
      <c r="F56" s="99"/>
      <c r="G56" s="107"/>
      <c r="H56" s="99"/>
      <c r="I56" s="66" t="str">
        <f t="shared" si="1"/>
        <v/>
      </c>
      <c r="J56" s="78"/>
      <c r="K56" s="108"/>
      <c r="L56" s="78"/>
      <c r="M56" s="78"/>
    </row>
    <row r="57" ht="24.0" customHeight="1">
      <c r="A57" s="78"/>
      <c r="B57" s="99"/>
      <c r="C57" s="78"/>
      <c r="D57" s="78"/>
      <c r="E57" s="99"/>
      <c r="F57" s="99"/>
      <c r="G57" s="107"/>
      <c r="H57" s="99"/>
      <c r="I57" s="66" t="str">
        <f t="shared" si="1"/>
        <v/>
      </c>
      <c r="J57" s="78"/>
      <c r="K57" s="108"/>
      <c r="L57" s="78"/>
      <c r="M57" s="78"/>
    </row>
    <row r="58" ht="24.0" customHeight="1">
      <c r="A58" s="78"/>
      <c r="B58" s="99"/>
      <c r="C58" s="78"/>
      <c r="D58" s="78"/>
      <c r="E58" s="99"/>
      <c r="F58" s="99"/>
      <c r="G58" s="107"/>
      <c r="H58" s="99"/>
      <c r="I58" s="66" t="str">
        <f t="shared" si="1"/>
        <v/>
      </c>
      <c r="J58" s="78"/>
      <c r="K58" s="108"/>
      <c r="L58" s="78"/>
      <c r="M58" s="78"/>
    </row>
    <row r="59" ht="24.0" customHeight="1">
      <c r="A59" s="78"/>
      <c r="B59" s="99"/>
      <c r="C59" s="78"/>
      <c r="D59" s="78"/>
      <c r="E59" s="99"/>
      <c r="F59" s="99"/>
      <c r="G59" s="107"/>
      <c r="H59" s="99"/>
      <c r="I59" s="66" t="str">
        <f t="shared" si="1"/>
        <v/>
      </c>
      <c r="J59" s="78"/>
      <c r="K59" s="108"/>
      <c r="L59" s="78"/>
      <c r="M59" s="78"/>
    </row>
    <row r="60" ht="24.0" customHeight="1">
      <c r="A60" s="78"/>
      <c r="B60" s="99"/>
      <c r="C60" s="78"/>
      <c r="D60" s="78"/>
      <c r="E60" s="99"/>
      <c r="F60" s="99"/>
      <c r="G60" s="107"/>
      <c r="H60" s="99"/>
      <c r="I60" s="66" t="str">
        <f t="shared" si="1"/>
        <v/>
      </c>
      <c r="J60" s="78"/>
      <c r="K60" s="108"/>
      <c r="L60" s="78"/>
      <c r="M60" s="78"/>
    </row>
    <row r="61" ht="24.0" customHeight="1">
      <c r="A61" s="78"/>
      <c r="B61" s="99"/>
      <c r="C61" s="78"/>
      <c r="D61" s="78"/>
      <c r="E61" s="99"/>
      <c r="F61" s="99"/>
      <c r="G61" s="107"/>
      <c r="H61" s="99"/>
      <c r="I61" s="66" t="str">
        <f t="shared" si="1"/>
        <v/>
      </c>
      <c r="J61" s="78"/>
      <c r="K61" s="108"/>
      <c r="L61" s="78"/>
      <c r="M61" s="78"/>
    </row>
    <row r="62" ht="24.0" customHeight="1">
      <c r="A62" s="78"/>
      <c r="B62" s="99"/>
      <c r="C62" s="78"/>
      <c r="D62" s="78"/>
      <c r="E62" s="99"/>
      <c r="F62" s="99"/>
      <c r="G62" s="107"/>
      <c r="H62" s="99"/>
      <c r="I62" s="66" t="str">
        <f t="shared" si="1"/>
        <v/>
      </c>
      <c r="J62" s="78"/>
      <c r="K62" s="108"/>
      <c r="L62" s="78"/>
      <c r="M62" s="78"/>
    </row>
    <row r="63" ht="24.0" customHeight="1">
      <c r="A63" s="78"/>
      <c r="B63" s="99"/>
      <c r="C63" s="78"/>
      <c r="D63" s="78"/>
      <c r="E63" s="99"/>
      <c r="F63" s="99"/>
      <c r="G63" s="107"/>
      <c r="H63" s="99"/>
      <c r="I63" s="66" t="str">
        <f t="shared" si="1"/>
        <v/>
      </c>
      <c r="J63" s="78"/>
      <c r="K63" s="108"/>
      <c r="L63" s="78"/>
      <c r="M63" s="78"/>
    </row>
    <row r="64" ht="24.0" customHeight="1">
      <c r="A64" s="78"/>
      <c r="B64" s="99"/>
      <c r="C64" s="78"/>
      <c r="D64" s="78"/>
      <c r="E64" s="99"/>
      <c r="F64" s="99"/>
      <c r="G64" s="107"/>
      <c r="H64" s="99"/>
      <c r="I64" s="66" t="str">
        <f t="shared" si="1"/>
        <v/>
      </c>
      <c r="J64" s="78"/>
      <c r="K64" s="108"/>
      <c r="L64" s="78"/>
      <c r="M64" s="78"/>
    </row>
    <row r="65" ht="24.0" customHeight="1">
      <c r="A65" s="78"/>
      <c r="B65" s="99"/>
      <c r="C65" s="78"/>
      <c r="D65" s="78"/>
      <c r="E65" s="99"/>
      <c r="F65" s="99"/>
      <c r="G65" s="107"/>
      <c r="H65" s="99"/>
      <c r="I65" s="66" t="str">
        <f t="shared" si="1"/>
        <v/>
      </c>
      <c r="J65" s="78"/>
      <c r="K65" s="108"/>
      <c r="L65" s="78"/>
      <c r="M65" s="78"/>
    </row>
    <row r="66" ht="24.0" customHeight="1">
      <c r="A66" s="78"/>
      <c r="B66" s="99"/>
      <c r="C66" s="78"/>
      <c r="D66" s="78"/>
      <c r="E66" s="99"/>
      <c r="F66" s="99"/>
      <c r="G66" s="107"/>
      <c r="H66" s="99"/>
      <c r="I66" s="66" t="str">
        <f t="shared" si="1"/>
        <v/>
      </c>
      <c r="J66" s="78"/>
      <c r="K66" s="108"/>
      <c r="L66" s="78"/>
      <c r="M66" s="78"/>
    </row>
    <row r="67" ht="24.0" customHeight="1">
      <c r="A67" s="78"/>
      <c r="B67" s="99"/>
      <c r="C67" s="78"/>
      <c r="D67" s="78"/>
      <c r="E67" s="99"/>
      <c r="F67" s="99"/>
      <c r="G67" s="107"/>
      <c r="H67" s="99"/>
      <c r="I67" s="66" t="str">
        <f t="shared" si="1"/>
        <v/>
      </c>
      <c r="J67" s="78"/>
      <c r="K67" s="108"/>
      <c r="L67" s="78"/>
      <c r="M67" s="78"/>
    </row>
    <row r="68" ht="24.0" customHeight="1">
      <c r="A68" s="78"/>
      <c r="B68" s="99"/>
      <c r="C68" s="78"/>
      <c r="D68" s="78"/>
      <c r="E68" s="99"/>
      <c r="F68" s="99"/>
      <c r="G68" s="107"/>
      <c r="H68" s="99"/>
      <c r="I68" s="66" t="str">
        <f t="shared" si="1"/>
        <v/>
      </c>
      <c r="J68" s="78"/>
      <c r="K68" s="108"/>
      <c r="L68" s="78"/>
      <c r="M68" s="78"/>
    </row>
    <row r="69" ht="24.0" customHeight="1">
      <c r="A69" s="78"/>
      <c r="B69" s="99"/>
      <c r="C69" s="78"/>
      <c r="D69" s="78"/>
      <c r="E69" s="99"/>
      <c r="F69" s="99"/>
      <c r="G69" s="107"/>
      <c r="H69" s="99"/>
      <c r="I69" s="66" t="str">
        <f t="shared" si="1"/>
        <v/>
      </c>
      <c r="J69" s="78"/>
      <c r="K69" s="108"/>
      <c r="L69" s="78"/>
      <c r="M69" s="78"/>
    </row>
    <row r="70" ht="24.0" customHeight="1">
      <c r="A70" s="78"/>
      <c r="B70" s="99"/>
      <c r="C70" s="78"/>
      <c r="D70" s="78"/>
      <c r="E70" s="99"/>
      <c r="F70" s="99"/>
      <c r="G70" s="107"/>
      <c r="H70" s="99"/>
      <c r="I70" s="66" t="str">
        <f t="shared" si="1"/>
        <v/>
      </c>
      <c r="J70" s="78"/>
      <c r="K70" s="108"/>
      <c r="L70" s="78"/>
      <c r="M70" s="78"/>
    </row>
    <row r="71" ht="24.0" customHeight="1">
      <c r="A71" s="78"/>
      <c r="B71" s="99"/>
      <c r="C71" s="78"/>
      <c r="D71" s="78"/>
      <c r="E71" s="99"/>
      <c r="F71" s="99"/>
      <c r="G71" s="107"/>
      <c r="H71" s="99"/>
      <c r="I71" s="66" t="str">
        <f t="shared" si="1"/>
        <v/>
      </c>
      <c r="J71" s="78"/>
      <c r="K71" s="108"/>
      <c r="L71" s="78"/>
      <c r="M71" s="78"/>
    </row>
    <row r="72" ht="24.0" customHeight="1">
      <c r="A72" s="78"/>
      <c r="B72" s="99"/>
      <c r="C72" s="78"/>
      <c r="D72" s="78"/>
      <c r="E72" s="99"/>
      <c r="F72" s="99"/>
      <c r="G72" s="107"/>
      <c r="H72" s="99"/>
      <c r="I72" s="66" t="str">
        <f t="shared" si="1"/>
        <v/>
      </c>
      <c r="J72" s="78"/>
      <c r="K72" s="108"/>
      <c r="L72" s="78"/>
      <c r="M72" s="78"/>
    </row>
    <row r="73" ht="24.0" customHeight="1">
      <c r="A73" s="78"/>
      <c r="B73" s="99"/>
      <c r="C73" s="78"/>
      <c r="D73" s="78"/>
      <c r="E73" s="99"/>
      <c r="F73" s="99"/>
      <c r="G73" s="107"/>
      <c r="H73" s="99"/>
      <c r="I73" s="66" t="str">
        <f t="shared" si="1"/>
        <v/>
      </c>
      <c r="J73" s="78"/>
      <c r="K73" s="108"/>
      <c r="L73" s="78"/>
      <c r="M73" s="78"/>
    </row>
    <row r="74" ht="24.0" customHeight="1">
      <c r="A74" s="78"/>
      <c r="B74" s="99"/>
      <c r="C74" s="78"/>
      <c r="D74" s="78"/>
      <c r="E74" s="99"/>
      <c r="F74" s="99"/>
      <c r="G74" s="107"/>
      <c r="H74" s="99"/>
      <c r="I74" s="66" t="str">
        <f t="shared" si="1"/>
        <v/>
      </c>
      <c r="J74" s="78"/>
      <c r="K74" s="108"/>
      <c r="L74" s="78"/>
      <c r="M74" s="78"/>
    </row>
    <row r="75" ht="24.0" customHeight="1">
      <c r="A75" s="78"/>
      <c r="B75" s="99"/>
      <c r="C75" s="78"/>
      <c r="D75" s="78"/>
      <c r="E75" s="99"/>
      <c r="F75" s="99"/>
      <c r="G75" s="107"/>
      <c r="H75" s="99"/>
      <c r="I75" s="66" t="str">
        <f t="shared" si="1"/>
        <v/>
      </c>
      <c r="J75" s="78"/>
      <c r="K75" s="108"/>
      <c r="L75" s="78"/>
      <c r="M75" s="78"/>
    </row>
    <row r="76" ht="24.0" customHeight="1">
      <c r="A76" s="78"/>
      <c r="B76" s="99"/>
      <c r="C76" s="78"/>
      <c r="D76" s="78"/>
      <c r="E76" s="99"/>
      <c r="F76" s="99"/>
      <c r="G76" s="107"/>
      <c r="H76" s="99"/>
      <c r="I76" s="66" t="str">
        <f t="shared" si="1"/>
        <v/>
      </c>
      <c r="J76" s="78"/>
      <c r="K76" s="108"/>
      <c r="L76" s="78"/>
      <c r="M76" s="78"/>
    </row>
    <row r="77" ht="24.0" customHeight="1">
      <c r="A77" s="78"/>
      <c r="B77" s="99"/>
      <c r="C77" s="78"/>
      <c r="D77" s="78"/>
      <c r="E77" s="99"/>
      <c r="F77" s="99"/>
      <c r="G77" s="107"/>
      <c r="H77" s="99"/>
      <c r="I77" s="66" t="str">
        <f t="shared" si="1"/>
        <v/>
      </c>
      <c r="J77" s="78"/>
      <c r="K77" s="108"/>
      <c r="L77" s="78"/>
      <c r="M77" s="78"/>
    </row>
    <row r="78" ht="24.0" customHeight="1">
      <c r="A78" s="78"/>
      <c r="B78" s="99"/>
      <c r="C78" s="78"/>
      <c r="D78" s="78"/>
      <c r="E78" s="99"/>
      <c r="F78" s="99"/>
      <c r="G78" s="107"/>
      <c r="H78" s="99"/>
      <c r="I78" s="66" t="str">
        <f t="shared" si="1"/>
        <v/>
      </c>
      <c r="J78" s="78"/>
      <c r="K78" s="108"/>
      <c r="L78" s="78"/>
      <c r="M78" s="78"/>
    </row>
    <row r="79" ht="24.0" customHeight="1">
      <c r="A79" s="78"/>
      <c r="B79" s="99"/>
      <c r="C79" s="78"/>
      <c r="D79" s="78"/>
      <c r="E79" s="99"/>
      <c r="F79" s="99"/>
      <c r="G79" s="107"/>
      <c r="H79" s="99"/>
      <c r="I79" s="66" t="str">
        <f t="shared" si="1"/>
        <v/>
      </c>
      <c r="J79" s="78"/>
      <c r="K79" s="108"/>
      <c r="L79" s="78"/>
      <c r="M79" s="78"/>
    </row>
    <row r="80" ht="24.0" customHeight="1">
      <c r="A80" s="78"/>
      <c r="B80" s="99"/>
      <c r="C80" s="78"/>
      <c r="D80" s="78"/>
      <c r="E80" s="99"/>
      <c r="F80" s="99"/>
      <c r="G80" s="107"/>
      <c r="H80" s="99"/>
      <c r="I80" s="66" t="str">
        <f t="shared" si="1"/>
        <v/>
      </c>
      <c r="J80" s="78"/>
      <c r="K80" s="108"/>
      <c r="L80" s="78"/>
      <c r="M80" s="78"/>
    </row>
    <row r="81" ht="24.0" customHeight="1">
      <c r="A81" s="78"/>
      <c r="B81" s="99"/>
      <c r="C81" s="78"/>
      <c r="D81" s="78"/>
      <c r="E81" s="99"/>
      <c r="F81" s="99"/>
      <c r="G81" s="107"/>
      <c r="H81" s="99"/>
      <c r="I81" s="66" t="str">
        <f t="shared" si="1"/>
        <v/>
      </c>
      <c r="J81" s="78"/>
      <c r="K81" s="108"/>
      <c r="L81" s="78"/>
      <c r="M81" s="78"/>
    </row>
    <row r="82" ht="24.0" customHeight="1">
      <c r="A82" s="78"/>
      <c r="B82" s="99"/>
      <c r="C82" s="78"/>
      <c r="D82" s="78"/>
      <c r="E82" s="99"/>
      <c r="F82" s="99"/>
      <c r="G82" s="107"/>
      <c r="H82" s="99"/>
      <c r="I82" s="66" t="str">
        <f t="shared" si="1"/>
        <v/>
      </c>
      <c r="J82" s="78"/>
      <c r="K82" s="108"/>
      <c r="L82" s="78"/>
      <c r="M82" s="78"/>
    </row>
    <row r="83" ht="24.0" customHeight="1">
      <c r="A83" s="78"/>
      <c r="B83" s="99"/>
      <c r="C83" s="78"/>
      <c r="D83" s="78"/>
      <c r="E83" s="99"/>
      <c r="F83" s="99"/>
      <c r="G83" s="107"/>
      <c r="H83" s="99"/>
      <c r="I83" s="66" t="str">
        <f t="shared" si="1"/>
        <v/>
      </c>
      <c r="J83" s="78"/>
      <c r="K83" s="108"/>
      <c r="L83" s="78"/>
      <c r="M83" s="78"/>
    </row>
    <row r="84" ht="24.0" customHeight="1">
      <c r="A84" s="78"/>
      <c r="B84" s="99"/>
      <c r="C84" s="78"/>
      <c r="D84" s="78"/>
      <c r="E84" s="99"/>
      <c r="F84" s="99"/>
      <c r="G84" s="107"/>
      <c r="H84" s="99"/>
      <c r="I84" s="66" t="str">
        <f t="shared" si="1"/>
        <v/>
      </c>
      <c r="J84" s="78"/>
      <c r="K84" s="108"/>
      <c r="L84" s="78"/>
      <c r="M84" s="78"/>
    </row>
    <row r="85" ht="24.0" customHeight="1">
      <c r="A85" s="78"/>
      <c r="B85" s="99"/>
      <c r="C85" s="78"/>
      <c r="D85" s="78"/>
      <c r="E85" s="99"/>
      <c r="F85" s="99"/>
      <c r="G85" s="107"/>
      <c r="H85" s="99"/>
      <c r="I85" s="66" t="str">
        <f t="shared" si="1"/>
        <v/>
      </c>
      <c r="J85" s="78"/>
      <c r="K85" s="108"/>
      <c r="L85" s="78"/>
      <c r="M85" s="78"/>
    </row>
    <row r="86" ht="24.0" customHeight="1">
      <c r="A86" s="78"/>
      <c r="B86" s="99"/>
      <c r="C86" s="78"/>
      <c r="D86" s="78"/>
      <c r="E86" s="99"/>
      <c r="F86" s="99"/>
      <c r="G86" s="107"/>
      <c r="H86" s="99"/>
      <c r="I86" s="66" t="str">
        <f t="shared" si="1"/>
        <v/>
      </c>
      <c r="J86" s="78"/>
      <c r="K86" s="108"/>
      <c r="L86" s="78"/>
      <c r="M86" s="78"/>
    </row>
    <row r="87" ht="24.0" customHeight="1">
      <c r="A87" s="78"/>
      <c r="B87" s="99"/>
      <c r="C87" s="78"/>
      <c r="D87" s="78"/>
      <c r="E87" s="99"/>
      <c r="F87" s="99"/>
      <c r="G87" s="107"/>
      <c r="H87" s="99"/>
      <c r="I87" s="66" t="str">
        <f t="shared" si="1"/>
        <v/>
      </c>
      <c r="J87" s="78"/>
      <c r="K87" s="108"/>
      <c r="L87" s="78"/>
      <c r="M87" s="78"/>
    </row>
    <row r="88" ht="24.0" customHeight="1">
      <c r="A88" s="78"/>
      <c r="B88" s="99"/>
      <c r="C88" s="78"/>
      <c r="D88" s="78"/>
      <c r="E88" s="99"/>
      <c r="F88" s="99"/>
      <c r="G88" s="107"/>
      <c r="H88" s="99"/>
      <c r="I88" s="66" t="str">
        <f t="shared" si="1"/>
        <v/>
      </c>
      <c r="J88" s="78"/>
      <c r="K88" s="108"/>
      <c r="L88" s="78"/>
      <c r="M88" s="78"/>
    </row>
    <row r="89" ht="24.0" customHeight="1">
      <c r="A89" s="78"/>
      <c r="B89" s="99"/>
      <c r="C89" s="78"/>
      <c r="D89" s="78"/>
      <c r="E89" s="99"/>
      <c r="F89" s="99"/>
      <c r="G89" s="107"/>
      <c r="H89" s="99"/>
      <c r="I89" s="66" t="str">
        <f t="shared" si="1"/>
        <v/>
      </c>
      <c r="J89" s="78"/>
      <c r="K89" s="108"/>
      <c r="L89" s="78"/>
      <c r="M89" s="78"/>
    </row>
    <row r="90" ht="24.0" customHeight="1">
      <c r="A90" s="78"/>
      <c r="B90" s="99"/>
      <c r="C90" s="78"/>
      <c r="D90" s="78"/>
      <c r="E90" s="99"/>
      <c r="F90" s="99"/>
      <c r="G90" s="107"/>
      <c r="H90" s="99"/>
      <c r="I90" s="66" t="str">
        <f t="shared" si="1"/>
        <v/>
      </c>
      <c r="J90" s="78"/>
      <c r="K90" s="108"/>
      <c r="L90" s="78"/>
      <c r="M90" s="78"/>
    </row>
    <row r="91" ht="24.0" customHeight="1">
      <c r="A91" s="78"/>
      <c r="B91" s="99"/>
      <c r="C91" s="78"/>
      <c r="D91" s="78"/>
      <c r="E91" s="99"/>
      <c r="F91" s="99"/>
      <c r="G91" s="107"/>
      <c r="H91" s="99"/>
      <c r="I91" s="66" t="str">
        <f t="shared" si="1"/>
        <v/>
      </c>
      <c r="J91" s="78"/>
      <c r="K91" s="108"/>
      <c r="L91" s="78"/>
      <c r="M91" s="78"/>
    </row>
    <row r="92" ht="24.0" customHeight="1">
      <c r="A92" s="78"/>
      <c r="B92" s="99"/>
      <c r="C92" s="78"/>
      <c r="D92" s="78"/>
      <c r="E92" s="99"/>
      <c r="F92" s="99"/>
      <c r="G92" s="107"/>
      <c r="H92" s="99"/>
      <c r="I92" s="66" t="str">
        <f t="shared" si="1"/>
        <v/>
      </c>
      <c r="J92" s="78"/>
      <c r="K92" s="108"/>
      <c r="L92" s="78"/>
      <c r="M92" s="78"/>
    </row>
    <row r="93" ht="24.0" customHeight="1">
      <c r="A93" s="78"/>
      <c r="B93" s="99"/>
      <c r="C93" s="78"/>
      <c r="D93" s="78"/>
      <c r="E93" s="99"/>
      <c r="F93" s="99"/>
      <c r="G93" s="107"/>
      <c r="H93" s="99"/>
      <c r="I93" s="66" t="str">
        <f t="shared" si="1"/>
        <v/>
      </c>
      <c r="J93" s="78"/>
      <c r="K93" s="108"/>
      <c r="L93" s="78"/>
      <c r="M93" s="78"/>
    </row>
    <row r="94" ht="24.0" customHeight="1">
      <c r="A94" s="78"/>
      <c r="B94" s="99"/>
      <c r="C94" s="78"/>
      <c r="D94" s="78"/>
      <c r="E94" s="99"/>
      <c r="F94" s="99"/>
      <c r="G94" s="107"/>
      <c r="H94" s="99"/>
      <c r="I94" s="66" t="str">
        <f t="shared" si="1"/>
        <v/>
      </c>
      <c r="J94" s="78"/>
      <c r="K94" s="108"/>
      <c r="L94" s="78"/>
      <c r="M94" s="78"/>
    </row>
    <row r="95" ht="24.0" customHeight="1">
      <c r="A95" s="78"/>
      <c r="B95" s="99"/>
      <c r="C95" s="78"/>
      <c r="D95" s="78"/>
      <c r="E95" s="99"/>
      <c r="F95" s="99"/>
      <c r="G95" s="107"/>
      <c r="H95" s="99"/>
      <c r="I95" s="66" t="str">
        <f t="shared" si="1"/>
        <v/>
      </c>
      <c r="J95" s="78"/>
      <c r="K95" s="108"/>
      <c r="L95" s="78"/>
      <c r="M95" s="78"/>
    </row>
    <row r="96" ht="24.0" customHeight="1">
      <c r="A96" s="78"/>
      <c r="B96" s="99"/>
      <c r="C96" s="78"/>
      <c r="D96" s="78"/>
      <c r="E96" s="99"/>
      <c r="F96" s="99"/>
      <c r="G96" s="107"/>
      <c r="H96" s="99"/>
      <c r="I96" s="66" t="str">
        <f t="shared" si="1"/>
        <v/>
      </c>
      <c r="J96" s="78"/>
      <c r="K96" s="108"/>
      <c r="L96" s="78"/>
      <c r="M96" s="78"/>
    </row>
    <row r="97" ht="24.0" customHeight="1">
      <c r="A97" s="78"/>
      <c r="B97" s="99"/>
      <c r="C97" s="78"/>
      <c r="D97" s="78"/>
      <c r="E97" s="99"/>
      <c r="F97" s="99"/>
      <c r="G97" s="107"/>
      <c r="H97" s="99"/>
      <c r="I97" s="66" t="str">
        <f t="shared" si="1"/>
        <v/>
      </c>
      <c r="J97" s="78"/>
      <c r="K97" s="108"/>
      <c r="L97" s="78"/>
      <c r="M97" s="78"/>
    </row>
    <row r="98" ht="24.0" customHeight="1">
      <c r="A98" s="78"/>
      <c r="B98" s="99"/>
      <c r="C98" s="78"/>
      <c r="D98" s="78"/>
      <c r="E98" s="99"/>
      <c r="F98" s="99"/>
      <c r="G98" s="107"/>
      <c r="H98" s="99"/>
      <c r="I98" s="66" t="str">
        <f t="shared" si="1"/>
        <v/>
      </c>
      <c r="J98" s="78"/>
      <c r="K98" s="108"/>
      <c r="L98" s="78"/>
      <c r="M98" s="78"/>
    </row>
    <row r="99" ht="24.0" customHeight="1">
      <c r="A99" s="78"/>
      <c r="B99" s="99"/>
      <c r="C99" s="78"/>
      <c r="D99" s="78"/>
      <c r="E99" s="99"/>
      <c r="F99" s="99"/>
      <c r="G99" s="107"/>
      <c r="H99" s="99"/>
      <c r="I99" s="66" t="str">
        <f t="shared" si="1"/>
        <v/>
      </c>
      <c r="J99" s="78"/>
      <c r="K99" s="108"/>
      <c r="L99" s="78"/>
      <c r="M99" s="78"/>
    </row>
    <row r="100" ht="24.0" customHeight="1">
      <c r="A100" s="78"/>
      <c r="B100" s="99"/>
      <c r="C100" s="78"/>
      <c r="D100" s="78"/>
      <c r="E100" s="99"/>
      <c r="F100" s="99"/>
      <c r="G100" s="107"/>
      <c r="H100" s="99"/>
      <c r="I100" s="66" t="str">
        <f t="shared" si="1"/>
        <v/>
      </c>
      <c r="J100" s="78"/>
      <c r="K100" s="108"/>
      <c r="L100" s="78"/>
      <c r="M100" s="78"/>
    </row>
    <row r="101" ht="24.0" customHeight="1">
      <c r="A101" s="78"/>
      <c r="B101" s="99"/>
      <c r="C101" s="78"/>
      <c r="D101" s="78"/>
      <c r="E101" s="99"/>
      <c r="F101" s="99"/>
      <c r="G101" s="107"/>
      <c r="H101" s="99"/>
      <c r="I101" s="66" t="str">
        <f t="shared" si="1"/>
        <v/>
      </c>
      <c r="J101" s="78"/>
      <c r="K101" s="108"/>
      <c r="L101" s="78"/>
      <c r="M101" s="78"/>
    </row>
    <row r="102" ht="24.0" customHeight="1">
      <c r="A102" s="78"/>
      <c r="B102" s="99"/>
      <c r="C102" s="78"/>
      <c r="D102" s="78"/>
      <c r="E102" s="99"/>
      <c r="F102" s="99"/>
      <c r="G102" s="107"/>
      <c r="H102" s="99"/>
      <c r="I102" s="66" t="str">
        <f t="shared" si="1"/>
        <v/>
      </c>
      <c r="J102" s="78"/>
      <c r="K102" s="108"/>
      <c r="L102" s="78"/>
      <c r="M102" s="78"/>
    </row>
    <row r="103" ht="24.0" customHeight="1">
      <c r="A103" s="78"/>
      <c r="B103" s="99"/>
      <c r="C103" s="78"/>
      <c r="D103" s="78"/>
      <c r="E103" s="99"/>
      <c r="F103" s="99"/>
      <c r="G103" s="107"/>
      <c r="H103" s="99"/>
      <c r="I103" s="66" t="str">
        <f t="shared" si="1"/>
        <v/>
      </c>
      <c r="J103" s="78"/>
      <c r="K103" s="108"/>
      <c r="L103" s="78"/>
      <c r="M103" s="78"/>
    </row>
    <row r="104" ht="24.0" customHeight="1">
      <c r="A104" s="78"/>
      <c r="B104" s="99"/>
      <c r="C104" s="78"/>
      <c r="D104" s="78"/>
      <c r="E104" s="99"/>
      <c r="F104" s="99"/>
      <c r="G104" s="107"/>
      <c r="H104" s="99"/>
      <c r="I104" s="66" t="str">
        <f t="shared" si="1"/>
        <v/>
      </c>
      <c r="J104" s="78"/>
      <c r="K104" s="108"/>
      <c r="L104" s="78"/>
      <c r="M104" s="78"/>
    </row>
    <row r="105" ht="24.0" customHeight="1">
      <c r="A105" s="78"/>
      <c r="B105" s="99"/>
      <c r="C105" s="78"/>
      <c r="D105" s="78"/>
      <c r="E105" s="99"/>
      <c r="F105" s="99"/>
      <c r="G105" s="107"/>
      <c r="H105" s="99"/>
      <c r="I105" s="66" t="str">
        <f t="shared" si="1"/>
        <v/>
      </c>
      <c r="J105" s="78"/>
      <c r="K105" s="108"/>
      <c r="L105" s="78"/>
      <c r="M105" s="78"/>
    </row>
    <row r="106" ht="24.0" customHeight="1">
      <c r="A106" s="78"/>
      <c r="B106" s="99"/>
      <c r="C106" s="78"/>
      <c r="D106" s="78"/>
      <c r="E106" s="99"/>
      <c r="F106" s="99"/>
      <c r="G106" s="107"/>
      <c r="H106" s="99"/>
      <c r="I106" s="66" t="str">
        <f t="shared" si="1"/>
        <v/>
      </c>
      <c r="J106" s="78"/>
      <c r="K106" s="108"/>
      <c r="L106" s="78"/>
      <c r="M106" s="78"/>
    </row>
    <row r="107" ht="24.0" customHeight="1">
      <c r="A107" s="78"/>
      <c r="B107" s="99"/>
      <c r="C107" s="78"/>
      <c r="D107" s="78"/>
      <c r="E107" s="99"/>
      <c r="F107" s="99"/>
      <c r="G107" s="107"/>
      <c r="H107" s="99"/>
      <c r="I107" s="66" t="str">
        <f t="shared" si="1"/>
        <v/>
      </c>
      <c r="J107" s="78"/>
      <c r="K107" s="108"/>
      <c r="L107" s="78"/>
      <c r="M107" s="78"/>
    </row>
    <row r="108" ht="24.0" customHeight="1">
      <c r="A108" s="78"/>
      <c r="B108" s="99"/>
      <c r="C108" s="78"/>
      <c r="D108" s="78"/>
      <c r="E108" s="99"/>
      <c r="F108" s="99"/>
      <c r="G108" s="107"/>
      <c r="H108" s="99"/>
      <c r="I108" s="66" t="str">
        <f t="shared" si="1"/>
        <v/>
      </c>
      <c r="J108" s="78"/>
      <c r="K108" s="108"/>
      <c r="L108" s="78"/>
      <c r="M108" s="78"/>
    </row>
    <row r="109" ht="24.0" customHeight="1">
      <c r="A109" s="78"/>
      <c r="B109" s="99"/>
      <c r="C109" s="78"/>
      <c r="D109" s="78"/>
      <c r="E109" s="99"/>
      <c r="F109" s="99"/>
      <c r="G109" s="107"/>
      <c r="H109" s="99"/>
      <c r="I109" s="66" t="str">
        <f t="shared" si="1"/>
        <v/>
      </c>
      <c r="J109" s="78"/>
      <c r="K109" s="108"/>
      <c r="L109" s="78"/>
      <c r="M109" s="78"/>
    </row>
    <row r="110" ht="24.0" customHeight="1">
      <c r="A110" s="78"/>
      <c r="B110" s="99"/>
      <c r="C110" s="78"/>
      <c r="D110" s="78"/>
      <c r="E110" s="99"/>
      <c r="F110" s="99"/>
      <c r="G110" s="107"/>
      <c r="H110" s="99"/>
      <c r="I110" s="66" t="str">
        <f t="shared" si="1"/>
        <v/>
      </c>
      <c r="J110" s="78"/>
      <c r="K110" s="108"/>
      <c r="L110" s="78"/>
      <c r="M110" s="78"/>
    </row>
    <row r="111" ht="24.0" customHeight="1">
      <c r="A111" s="78"/>
      <c r="B111" s="99"/>
      <c r="C111" s="78"/>
      <c r="D111" s="78"/>
      <c r="E111" s="99"/>
      <c r="F111" s="99"/>
      <c r="G111" s="107"/>
      <c r="H111" s="99"/>
      <c r="I111" s="66" t="str">
        <f t="shared" si="1"/>
        <v/>
      </c>
      <c r="J111" s="78"/>
      <c r="K111" s="108"/>
      <c r="L111" s="78"/>
      <c r="M111" s="78"/>
    </row>
    <row r="112" ht="24.0" customHeight="1">
      <c r="A112" s="78"/>
      <c r="B112" s="99"/>
      <c r="C112" s="78"/>
      <c r="D112" s="78"/>
      <c r="E112" s="99"/>
      <c r="F112" s="99"/>
      <c r="G112" s="107"/>
      <c r="H112" s="99"/>
      <c r="I112" s="66" t="str">
        <f t="shared" si="1"/>
        <v/>
      </c>
      <c r="J112" s="78"/>
      <c r="K112" s="108"/>
      <c r="L112" s="78"/>
      <c r="M112" s="78"/>
    </row>
    <row r="113" ht="24.0" customHeight="1">
      <c r="A113" s="78"/>
      <c r="B113" s="99"/>
      <c r="C113" s="78"/>
      <c r="D113" s="78"/>
      <c r="E113" s="99"/>
      <c r="F113" s="99"/>
      <c r="G113" s="107"/>
      <c r="H113" s="99"/>
      <c r="I113" s="66" t="str">
        <f t="shared" si="1"/>
        <v/>
      </c>
      <c r="J113" s="78"/>
      <c r="K113" s="108"/>
      <c r="L113" s="78"/>
      <c r="M113" s="78"/>
    </row>
    <row r="114" ht="24.0" customHeight="1">
      <c r="A114" s="78"/>
      <c r="B114" s="99"/>
      <c r="C114" s="78"/>
      <c r="D114" s="78"/>
      <c r="E114" s="99"/>
      <c r="F114" s="99"/>
      <c r="G114" s="107"/>
      <c r="H114" s="99"/>
      <c r="I114" s="66" t="str">
        <f t="shared" si="1"/>
        <v/>
      </c>
      <c r="J114" s="78"/>
      <c r="K114" s="108"/>
      <c r="L114" s="78"/>
      <c r="M114" s="78"/>
    </row>
    <row r="115" ht="24.0" customHeight="1">
      <c r="A115" s="78"/>
      <c r="B115" s="99"/>
      <c r="C115" s="78"/>
      <c r="D115" s="78"/>
      <c r="E115" s="99"/>
      <c r="F115" s="99"/>
      <c r="G115" s="107"/>
      <c r="H115" s="99"/>
      <c r="I115" s="66" t="str">
        <f t="shared" si="1"/>
        <v/>
      </c>
      <c r="J115" s="78"/>
      <c r="K115" s="108"/>
      <c r="L115" s="78"/>
      <c r="M115" s="78"/>
    </row>
    <row r="116" ht="24.0" customHeight="1">
      <c r="A116" s="78"/>
      <c r="B116" s="99"/>
      <c r="C116" s="78"/>
      <c r="D116" s="78"/>
      <c r="E116" s="99"/>
      <c r="F116" s="99"/>
      <c r="G116" s="107"/>
      <c r="H116" s="99"/>
      <c r="I116" s="66" t="str">
        <f t="shared" si="1"/>
        <v/>
      </c>
      <c r="J116" s="78"/>
      <c r="K116" s="108"/>
      <c r="L116" s="78"/>
      <c r="M116" s="78"/>
    </row>
    <row r="117" ht="24.0" customHeight="1">
      <c r="A117" s="78"/>
      <c r="B117" s="99"/>
      <c r="C117" s="78"/>
      <c r="D117" s="78"/>
      <c r="E117" s="99"/>
      <c r="F117" s="99"/>
      <c r="G117" s="107"/>
      <c r="H117" s="99"/>
      <c r="I117" s="66" t="str">
        <f t="shared" si="1"/>
        <v/>
      </c>
      <c r="J117" s="78"/>
      <c r="K117" s="108"/>
      <c r="L117" s="78"/>
      <c r="M117" s="78"/>
    </row>
    <row r="118" ht="24.0" customHeight="1">
      <c r="A118" s="78"/>
      <c r="B118" s="99"/>
      <c r="C118" s="78"/>
      <c r="D118" s="78"/>
      <c r="E118" s="99"/>
      <c r="F118" s="99"/>
      <c r="G118" s="107"/>
      <c r="H118" s="99"/>
      <c r="I118" s="66" t="str">
        <f t="shared" si="1"/>
        <v/>
      </c>
      <c r="J118" s="78"/>
      <c r="K118" s="108"/>
      <c r="L118" s="78"/>
      <c r="M118" s="78"/>
    </row>
    <row r="119" ht="24.0" customHeight="1">
      <c r="A119" s="78"/>
      <c r="B119" s="99"/>
      <c r="C119" s="78"/>
      <c r="D119" s="78"/>
      <c r="E119" s="99"/>
      <c r="F119" s="99"/>
      <c r="G119" s="107"/>
      <c r="H119" s="99"/>
      <c r="I119" s="66" t="str">
        <f t="shared" si="1"/>
        <v/>
      </c>
      <c r="J119" s="78"/>
      <c r="K119" s="108"/>
      <c r="L119" s="78"/>
      <c r="M119" s="78"/>
    </row>
    <row r="120" ht="24.0" customHeight="1">
      <c r="A120" s="78"/>
      <c r="B120" s="99"/>
      <c r="C120" s="78"/>
      <c r="D120" s="78"/>
      <c r="E120" s="99"/>
      <c r="F120" s="99"/>
      <c r="G120" s="107"/>
      <c r="H120" s="99"/>
      <c r="I120" s="66" t="str">
        <f t="shared" si="1"/>
        <v/>
      </c>
      <c r="J120" s="78"/>
      <c r="K120" s="108"/>
      <c r="L120" s="78"/>
      <c r="M120" s="78"/>
    </row>
    <row r="121" ht="24.0" customHeight="1">
      <c r="A121" s="78"/>
      <c r="B121" s="99"/>
      <c r="C121" s="78"/>
      <c r="D121" s="78"/>
      <c r="E121" s="99"/>
      <c r="F121" s="99"/>
      <c r="G121" s="107"/>
      <c r="H121" s="99"/>
      <c r="I121" s="66" t="str">
        <f t="shared" si="1"/>
        <v/>
      </c>
      <c r="J121" s="78"/>
      <c r="K121" s="108"/>
      <c r="L121" s="78"/>
      <c r="M121" s="78"/>
    </row>
    <row r="122" ht="24.0" customHeight="1">
      <c r="A122" s="78"/>
      <c r="B122" s="99"/>
      <c r="C122" s="78"/>
      <c r="D122" s="78"/>
      <c r="E122" s="99"/>
      <c r="F122" s="99"/>
      <c r="G122" s="107"/>
      <c r="H122" s="99"/>
      <c r="I122" s="66" t="str">
        <f t="shared" si="1"/>
        <v/>
      </c>
      <c r="J122" s="78"/>
      <c r="K122" s="108"/>
      <c r="L122" s="78"/>
      <c r="M122" s="78"/>
    </row>
    <row r="123" ht="24.0" customHeight="1">
      <c r="A123" s="78"/>
      <c r="B123" s="99"/>
      <c r="C123" s="78"/>
      <c r="D123" s="78"/>
      <c r="E123" s="99"/>
      <c r="F123" s="99"/>
      <c r="G123" s="107"/>
      <c r="H123" s="99"/>
      <c r="I123" s="66" t="str">
        <f t="shared" si="1"/>
        <v/>
      </c>
      <c r="J123" s="78"/>
      <c r="K123" s="108"/>
      <c r="L123" s="78"/>
      <c r="M123" s="78"/>
    </row>
    <row r="124" ht="24.0" customHeight="1">
      <c r="A124" s="78"/>
      <c r="B124" s="99"/>
      <c r="C124" s="78"/>
      <c r="D124" s="78"/>
      <c r="E124" s="99"/>
      <c r="F124" s="99"/>
      <c r="G124" s="107"/>
      <c r="H124" s="99"/>
      <c r="I124" s="66" t="str">
        <f t="shared" si="1"/>
        <v/>
      </c>
      <c r="J124" s="78"/>
      <c r="K124" s="108"/>
      <c r="L124" s="78"/>
      <c r="M124" s="78"/>
    </row>
    <row r="125" ht="24.0" customHeight="1">
      <c r="A125" s="78"/>
      <c r="B125" s="99"/>
      <c r="C125" s="78"/>
      <c r="D125" s="78"/>
      <c r="E125" s="99"/>
      <c r="F125" s="99"/>
      <c r="G125" s="107"/>
      <c r="H125" s="99"/>
      <c r="I125" s="66" t="str">
        <f t="shared" si="1"/>
        <v/>
      </c>
      <c r="J125" s="78"/>
      <c r="K125" s="108"/>
      <c r="L125" s="78"/>
      <c r="M125" s="78"/>
    </row>
    <row r="126" ht="24.0" customHeight="1">
      <c r="A126" s="78"/>
      <c r="B126" s="99"/>
      <c r="C126" s="78"/>
      <c r="D126" s="78"/>
      <c r="E126" s="99"/>
      <c r="F126" s="99"/>
      <c r="G126" s="107"/>
      <c r="H126" s="99"/>
      <c r="I126" s="66" t="str">
        <f t="shared" si="1"/>
        <v/>
      </c>
      <c r="J126" s="78"/>
      <c r="K126" s="108"/>
      <c r="L126" s="78"/>
      <c r="M126" s="78"/>
    </row>
    <row r="127" ht="24.0" customHeight="1">
      <c r="A127" s="78"/>
      <c r="B127" s="99"/>
      <c r="C127" s="78"/>
      <c r="D127" s="78"/>
      <c r="E127" s="99"/>
      <c r="F127" s="99"/>
      <c r="G127" s="107"/>
      <c r="H127" s="99"/>
      <c r="I127" s="66" t="str">
        <f t="shared" si="1"/>
        <v/>
      </c>
      <c r="J127" s="78"/>
      <c r="K127" s="108"/>
      <c r="L127" s="78"/>
      <c r="M127" s="78"/>
    </row>
    <row r="128" ht="24.0" customHeight="1">
      <c r="A128" s="78"/>
      <c r="B128" s="99"/>
      <c r="C128" s="78"/>
      <c r="D128" s="78"/>
      <c r="E128" s="99"/>
      <c r="F128" s="99"/>
      <c r="G128" s="107"/>
      <c r="H128" s="99"/>
      <c r="I128" s="66" t="str">
        <f t="shared" si="1"/>
        <v/>
      </c>
      <c r="J128" s="78"/>
      <c r="K128" s="108"/>
      <c r="L128" s="78"/>
      <c r="M128" s="78"/>
    </row>
    <row r="129" ht="24.0" customHeight="1">
      <c r="A129" s="78"/>
      <c r="B129" s="99"/>
      <c r="C129" s="78"/>
      <c r="D129" s="78"/>
      <c r="E129" s="99"/>
      <c r="F129" s="99"/>
      <c r="G129" s="107"/>
      <c r="H129" s="99"/>
      <c r="I129" s="66" t="str">
        <f t="shared" si="1"/>
        <v/>
      </c>
      <c r="J129" s="78"/>
      <c r="K129" s="108"/>
      <c r="L129" s="78"/>
      <c r="M129" s="78"/>
    </row>
    <row r="130" ht="24.0" customHeight="1">
      <c r="A130" s="78"/>
      <c r="B130" s="99"/>
      <c r="C130" s="78"/>
      <c r="D130" s="78"/>
      <c r="E130" s="99"/>
      <c r="F130" s="99"/>
      <c r="G130" s="107"/>
      <c r="H130" s="99"/>
      <c r="I130" s="66" t="str">
        <f t="shared" si="1"/>
        <v/>
      </c>
      <c r="J130" s="78"/>
      <c r="K130" s="108"/>
      <c r="L130" s="78"/>
      <c r="M130" s="78"/>
    </row>
    <row r="131" ht="24.0" customHeight="1">
      <c r="A131" s="78"/>
      <c r="B131" s="99"/>
      <c r="C131" s="78"/>
      <c r="D131" s="78"/>
      <c r="E131" s="99"/>
      <c r="F131" s="99"/>
      <c r="G131" s="107"/>
      <c r="H131" s="99"/>
      <c r="I131" s="66" t="str">
        <f t="shared" si="1"/>
        <v/>
      </c>
      <c r="J131" s="78"/>
      <c r="K131" s="108"/>
      <c r="L131" s="78"/>
      <c r="M131" s="78"/>
    </row>
    <row r="132" ht="24.0" customHeight="1">
      <c r="A132" s="78"/>
      <c r="B132" s="99"/>
      <c r="C132" s="78"/>
      <c r="D132" s="78"/>
      <c r="E132" s="99"/>
      <c r="F132" s="99"/>
      <c r="G132" s="107"/>
      <c r="H132" s="99"/>
      <c r="I132" s="66" t="str">
        <f t="shared" si="1"/>
        <v/>
      </c>
      <c r="J132" s="78"/>
      <c r="K132" s="108"/>
      <c r="L132" s="78"/>
      <c r="M132" s="78"/>
    </row>
    <row r="133" ht="24.0" customHeight="1">
      <c r="A133" s="78"/>
      <c r="B133" s="99"/>
      <c r="C133" s="78"/>
      <c r="D133" s="78"/>
      <c r="E133" s="99"/>
      <c r="F133" s="99"/>
      <c r="G133" s="107"/>
      <c r="H133" s="99"/>
      <c r="I133" s="66" t="str">
        <f t="shared" si="1"/>
        <v/>
      </c>
      <c r="J133" s="78"/>
      <c r="K133" s="108"/>
      <c r="L133" s="78"/>
      <c r="M133" s="78"/>
    </row>
    <row r="134" ht="24.0" customHeight="1">
      <c r="A134" s="78"/>
      <c r="B134" s="99"/>
      <c r="C134" s="78"/>
      <c r="D134" s="78"/>
      <c r="E134" s="99"/>
      <c r="F134" s="99"/>
      <c r="G134" s="107"/>
      <c r="H134" s="99"/>
      <c r="I134" s="66" t="str">
        <f t="shared" si="1"/>
        <v/>
      </c>
      <c r="J134" s="78"/>
      <c r="K134" s="108"/>
      <c r="L134" s="78"/>
      <c r="M134" s="78"/>
    </row>
    <row r="135" ht="24.0" customHeight="1">
      <c r="A135" s="78"/>
      <c r="B135" s="99"/>
      <c r="C135" s="78"/>
      <c r="D135" s="78"/>
      <c r="E135" s="99"/>
      <c r="F135" s="99"/>
      <c r="G135" s="107"/>
      <c r="H135" s="99"/>
      <c r="I135" s="66" t="str">
        <f t="shared" si="1"/>
        <v/>
      </c>
      <c r="J135" s="78"/>
      <c r="K135" s="108"/>
      <c r="L135" s="78"/>
      <c r="M135" s="78"/>
    </row>
    <row r="136" ht="24.0" customHeight="1">
      <c r="A136" s="78"/>
      <c r="B136" s="99"/>
      <c r="C136" s="78"/>
      <c r="D136" s="78"/>
      <c r="E136" s="99"/>
      <c r="F136" s="99"/>
      <c r="G136" s="107"/>
      <c r="H136" s="99"/>
      <c r="I136" s="66" t="str">
        <f t="shared" si="1"/>
        <v/>
      </c>
      <c r="J136" s="78"/>
      <c r="K136" s="108"/>
      <c r="L136" s="78"/>
      <c r="M136" s="78"/>
    </row>
    <row r="137" ht="24.0" customHeight="1">
      <c r="A137" s="78"/>
      <c r="B137" s="99"/>
      <c r="C137" s="78"/>
      <c r="D137" s="78"/>
      <c r="E137" s="99"/>
      <c r="F137" s="99"/>
      <c r="G137" s="107"/>
      <c r="H137" s="99"/>
      <c r="I137" s="66" t="str">
        <f t="shared" si="1"/>
        <v/>
      </c>
      <c r="J137" s="78"/>
      <c r="K137" s="108"/>
      <c r="L137" s="78"/>
      <c r="M137" s="78"/>
    </row>
    <row r="138" ht="24.0" customHeight="1">
      <c r="A138" s="78"/>
      <c r="B138" s="99"/>
      <c r="C138" s="78"/>
      <c r="D138" s="78"/>
      <c r="E138" s="99"/>
      <c r="F138" s="99"/>
      <c r="G138" s="107"/>
      <c r="H138" s="99"/>
      <c r="I138" s="66" t="str">
        <f t="shared" si="1"/>
        <v/>
      </c>
      <c r="J138" s="78"/>
      <c r="K138" s="108"/>
      <c r="L138" s="78"/>
      <c r="M138" s="78"/>
    </row>
    <row r="139" ht="24.0" customHeight="1">
      <c r="A139" s="78"/>
      <c r="B139" s="99"/>
      <c r="C139" s="78"/>
      <c r="D139" s="78"/>
      <c r="E139" s="99"/>
      <c r="F139" s="99"/>
      <c r="G139" s="107"/>
      <c r="H139" s="99"/>
      <c r="I139" s="66" t="str">
        <f t="shared" si="1"/>
        <v/>
      </c>
      <c r="J139" s="78"/>
      <c r="K139" s="108"/>
      <c r="L139" s="78"/>
      <c r="M139" s="78"/>
    </row>
    <row r="140" ht="24.0" customHeight="1">
      <c r="A140" s="78"/>
      <c r="B140" s="99"/>
      <c r="C140" s="78"/>
      <c r="D140" s="78"/>
      <c r="E140" s="99"/>
      <c r="F140" s="99"/>
      <c r="G140" s="107"/>
      <c r="H140" s="99"/>
      <c r="I140" s="66" t="str">
        <f t="shared" si="1"/>
        <v/>
      </c>
      <c r="J140" s="78"/>
      <c r="K140" s="108"/>
      <c r="L140" s="78"/>
      <c r="M140" s="78"/>
    </row>
    <row r="141" ht="24.0" customHeight="1">
      <c r="A141" s="78"/>
      <c r="B141" s="99"/>
      <c r="C141" s="78"/>
      <c r="D141" s="78"/>
      <c r="E141" s="99"/>
      <c r="F141" s="99"/>
      <c r="G141" s="107"/>
      <c r="H141" s="99"/>
      <c r="I141" s="66" t="str">
        <f t="shared" si="1"/>
        <v/>
      </c>
      <c r="J141" s="78"/>
      <c r="K141" s="108"/>
      <c r="L141" s="78"/>
      <c r="M141" s="78"/>
    </row>
    <row r="142" ht="24.0" customHeight="1">
      <c r="A142" s="78"/>
      <c r="B142" s="99"/>
      <c r="C142" s="78"/>
      <c r="D142" s="78"/>
      <c r="E142" s="99"/>
      <c r="F142" s="99"/>
      <c r="G142" s="107"/>
      <c r="H142" s="99"/>
      <c r="I142" s="66" t="str">
        <f t="shared" si="1"/>
        <v/>
      </c>
      <c r="J142" s="78"/>
      <c r="K142" s="108"/>
      <c r="L142" s="78"/>
      <c r="M142" s="78"/>
    </row>
    <row r="143" ht="24.0" customHeight="1">
      <c r="A143" s="78"/>
      <c r="B143" s="99"/>
      <c r="C143" s="78"/>
      <c r="D143" s="78"/>
      <c r="E143" s="99"/>
      <c r="F143" s="99"/>
      <c r="G143" s="107"/>
      <c r="H143" s="99"/>
      <c r="I143" s="66" t="str">
        <f t="shared" si="1"/>
        <v/>
      </c>
      <c r="J143" s="78"/>
      <c r="K143" s="108"/>
      <c r="L143" s="78"/>
      <c r="M143" s="78"/>
    </row>
    <row r="144" ht="24.0" customHeight="1">
      <c r="A144" s="78"/>
      <c r="B144" s="99"/>
      <c r="C144" s="78"/>
      <c r="D144" s="78"/>
      <c r="E144" s="99"/>
      <c r="F144" s="99"/>
      <c r="G144" s="107"/>
      <c r="H144" s="99"/>
      <c r="I144" s="66" t="str">
        <f t="shared" si="1"/>
        <v/>
      </c>
      <c r="J144" s="78"/>
      <c r="K144" s="108"/>
      <c r="L144" s="78"/>
      <c r="M144" s="78"/>
    </row>
    <row r="145" ht="24.0" customHeight="1">
      <c r="A145" s="78"/>
      <c r="B145" s="99"/>
      <c r="C145" s="78"/>
      <c r="D145" s="78"/>
      <c r="E145" s="99"/>
      <c r="F145" s="99"/>
      <c r="G145" s="107"/>
      <c r="H145" s="99"/>
      <c r="I145" s="66" t="str">
        <f t="shared" si="1"/>
        <v/>
      </c>
      <c r="J145" s="78"/>
      <c r="K145" s="108"/>
      <c r="L145" s="78"/>
      <c r="M145" s="78"/>
    </row>
    <row r="146" ht="24.0" customHeight="1">
      <c r="A146" s="78"/>
      <c r="B146" s="99"/>
      <c r="C146" s="78"/>
      <c r="D146" s="78"/>
      <c r="E146" s="99"/>
      <c r="F146" s="99"/>
      <c r="G146" s="107"/>
      <c r="H146" s="99"/>
      <c r="I146" s="66" t="str">
        <f t="shared" si="1"/>
        <v/>
      </c>
      <c r="J146" s="78"/>
      <c r="K146" s="108"/>
      <c r="L146" s="78"/>
      <c r="M146" s="78"/>
    </row>
    <row r="147" ht="24.0" customHeight="1">
      <c r="A147" s="78"/>
      <c r="B147" s="99"/>
      <c r="C147" s="78"/>
      <c r="D147" s="78"/>
      <c r="E147" s="99"/>
      <c r="F147" s="99"/>
      <c r="G147" s="107"/>
      <c r="H147" s="99"/>
      <c r="I147" s="66" t="str">
        <f t="shared" si="1"/>
        <v/>
      </c>
      <c r="J147" s="78"/>
      <c r="K147" s="108"/>
      <c r="L147" s="78"/>
      <c r="M147" s="78"/>
    </row>
    <row r="148" ht="24.0" customHeight="1">
      <c r="A148" s="78"/>
      <c r="B148" s="99"/>
      <c r="C148" s="78"/>
      <c r="D148" s="78"/>
      <c r="E148" s="99"/>
      <c r="F148" s="99"/>
      <c r="G148" s="107"/>
      <c r="H148" s="99"/>
      <c r="I148" s="66" t="str">
        <f t="shared" si="1"/>
        <v/>
      </c>
      <c r="J148" s="78"/>
      <c r="K148" s="108"/>
      <c r="L148" s="78"/>
      <c r="M148" s="78"/>
    </row>
    <row r="149" ht="24.0" customHeight="1">
      <c r="A149" s="78"/>
      <c r="B149" s="99"/>
      <c r="C149" s="78"/>
      <c r="D149" s="78"/>
      <c r="E149" s="99"/>
      <c r="F149" s="99"/>
      <c r="G149" s="107"/>
      <c r="H149" s="99"/>
      <c r="I149" s="66" t="str">
        <f t="shared" si="1"/>
        <v/>
      </c>
      <c r="J149" s="78"/>
      <c r="K149" s="108"/>
      <c r="L149" s="78"/>
      <c r="M149" s="78"/>
    </row>
    <row r="150" ht="24.0" customHeight="1">
      <c r="A150" s="78"/>
      <c r="B150" s="99"/>
      <c r="C150" s="78"/>
      <c r="D150" s="78"/>
      <c r="E150" s="99"/>
      <c r="F150" s="99"/>
      <c r="G150" s="107"/>
      <c r="H150" s="99"/>
      <c r="I150" s="66" t="str">
        <f t="shared" si="1"/>
        <v/>
      </c>
      <c r="J150" s="78"/>
      <c r="K150" s="108"/>
      <c r="L150" s="78"/>
      <c r="M150" s="78"/>
    </row>
    <row r="151" ht="24.0" customHeight="1">
      <c r="A151" s="78"/>
      <c r="B151" s="99"/>
      <c r="C151" s="78"/>
      <c r="D151" s="78"/>
      <c r="E151" s="99"/>
      <c r="F151" s="99"/>
      <c r="G151" s="107"/>
      <c r="H151" s="99"/>
      <c r="I151" s="66" t="str">
        <f t="shared" si="1"/>
        <v/>
      </c>
      <c r="J151" s="78"/>
      <c r="K151" s="108"/>
      <c r="L151" s="78"/>
      <c r="M151" s="78"/>
    </row>
    <row r="152" ht="24.0" customHeight="1">
      <c r="A152" s="78"/>
      <c r="B152" s="99"/>
      <c r="C152" s="78"/>
      <c r="D152" s="78"/>
      <c r="E152" s="99"/>
      <c r="F152" s="99"/>
      <c r="G152" s="107"/>
      <c r="H152" s="99"/>
      <c r="I152" s="66" t="str">
        <f t="shared" si="1"/>
        <v/>
      </c>
      <c r="J152" s="78"/>
      <c r="K152" s="108"/>
      <c r="L152" s="78"/>
      <c r="M152" s="78"/>
    </row>
    <row r="153" ht="24.0" customHeight="1">
      <c r="A153" s="78"/>
      <c r="B153" s="99"/>
      <c r="C153" s="78"/>
      <c r="D153" s="78"/>
      <c r="E153" s="99"/>
      <c r="F153" s="99"/>
      <c r="G153" s="107"/>
      <c r="H153" s="99"/>
      <c r="I153" s="66" t="str">
        <f t="shared" si="1"/>
        <v/>
      </c>
      <c r="J153" s="78"/>
      <c r="K153" s="108"/>
      <c r="L153" s="78"/>
      <c r="M153" s="78"/>
    </row>
    <row r="154" ht="24.0" customHeight="1">
      <c r="A154" s="78"/>
      <c r="B154" s="99"/>
      <c r="C154" s="78"/>
      <c r="D154" s="78"/>
      <c r="E154" s="99"/>
      <c r="F154" s="99"/>
      <c r="G154" s="107"/>
      <c r="H154" s="99"/>
      <c r="I154" s="66" t="str">
        <f t="shared" si="1"/>
        <v/>
      </c>
      <c r="J154" s="78"/>
      <c r="K154" s="108"/>
      <c r="L154" s="78"/>
      <c r="M154" s="78"/>
    </row>
    <row r="155" ht="24.0" customHeight="1">
      <c r="A155" s="78"/>
      <c r="B155" s="99"/>
      <c r="C155" s="78"/>
      <c r="D155" s="78"/>
      <c r="E155" s="99"/>
      <c r="F155" s="99"/>
      <c r="G155" s="107"/>
      <c r="H155" s="99"/>
      <c r="I155" s="66" t="str">
        <f t="shared" si="1"/>
        <v/>
      </c>
      <c r="J155" s="78"/>
      <c r="K155" s="108"/>
      <c r="L155" s="78"/>
      <c r="M155" s="78"/>
    </row>
    <row r="156" ht="24.0" customHeight="1">
      <c r="A156" s="78"/>
      <c r="B156" s="99"/>
      <c r="C156" s="78"/>
      <c r="D156" s="78"/>
      <c r="E156" s="99"/>
      <c r="F156" s="99"/>
      <c r="G156" s="107"/>
      <c r="H156" s="99"/>
      <c r="I156" s="66" t="str">
        <f t="shared" si="1"/>
        <v/>
      </c>
      <c r="J156" s="78"/>
      <c r="K156" s="108"/>
      <c r="L156" s="78"/>
      <c r="M156" s="78"/>
    </row>
    <row r="157" ht="24.0" customHeight="1">
      <c r="A157" s="78"/>
      <c r="B157" s="99"/>
      <c r="C157" s="78"/>
      <c r="D157" s="78"/>
      <c r="E157" s="99"/>
      <c r="F157" s="99"/>
      <c r="G157" s="107"/>
      <c r="H157" s="99"/>
      <c r="I157" s="66" t="str">
        <f t="shared" si="1"/>
        <v/>
      </c>
      <c r="J157" s="78"/>
      <c r="K157" s="108"/>
      <c r="L157" s="78"/>
      <c r="M157" s="78"/>
    </row>
    <row r="158" ht="24.0" customHeight="1">
      <c r="A158" s="78"/>
      <c r="B158" s="99"/>
      <c r="C158" s="78"/>
      <c r="D158" s="78"/>
      <c r="E158" s="99"/>
      <c r="F158" s="99"/>
      <c r="G158" s="107"/>
      <c r="H158" s="99"/>
      <c r="I158" s="66" t="str">
        <f t="shared" si="1"/>
        <v/>
      </c>
      <c r="J158" s="78"/>
      <c r="K158" s="108"/>
      <c r="L158" s="78"/>
      <c r="M158" s="78"/>
    </row>
    <row r="159" ht="24.0" customHeight="1">
      <c r="A159" s="78"/>
      <c r="B159" s="99"/>
      <c r="C159" s="78"/>
      <c r="D159" s="78"/>
      <c r="E159" s="99"/>
      <c r="F159" s="99"/>
      <c r="G159" s="107"/>
      <c r="H159" s="99"/>
      <c r="I159" s="66" t="str">
        <f t="shared" si="1"/>
        <v/>
      </c>
      <c r="J159" s="78"/>
      <c r="K159" s="108"/>
      <c r="L159" s="78"/>
      <c r="M159" s="78"/>
    </row>
    <row r="160" ht="24.0" customHeight="1">
      <c r="A160" s="78"/>
      <c r="B160" s="99"/>
      <c r="C160" s="78"/>
      <c r="D160" s="78"/>
      <c r="E160" s="99"/>
      <c r="F160" s="99"/>
      <c r="G160" s="107"/>
      <c r="H160" s="99"/>
      <c r="I160" s="66" t="str">
        <f t="shared" si="1"/>
        <v/>
      </c>
      <c r="J160" s="78"/>
      <c r="K160" s="108"/>
      <c r="L160" s="78"/>
      <c r="M160" s="78"/>
    </row>
    <row r="161" ht="24.0" customHeight="1">
      <c r="A161" s="78"/>
      <c r="B161" s="99"/>
      <c r="C161" s="78"/>
      <c r="D161" s="78"/>
      <c r="E161" s="99"/>
      <c r="F161" s="99"/>
      <c r="G161" s="107"/>
      <c r="H161" s="99"/>
      <c r="I161" s="66" t="str">
        <f t="shared" si="1"/>
        <v/>
      </c>
      <c r="J161" s="78"/>
      <c r="K161" s="108"/>
      <c r="L161" s="78"/>
      <c r="M161" s="78"/>
    </row>
    <row r="162" ht="24.0" customHeight="1">
      <c r="A162" s="78"/>
      <c r="B162" s="99"/>
      <c r="C162" s="78"/>
      <c r="D162" s="78"/>
      <c r="E162" s="99"/>
      <c r="F162" s="99"/>
      <c r="G162" s="107"/>
      <c r="H162" s="99"/>
      <c r="I162" s="66" t="str">
        <f t="shared" si="1"/>
        <v/>
      </c>
      <c r="J162" s="78"/>
      <c r="K162" s="108"/>
      <c r="L162" s="78"/>
      <c r="M162" s="78"/>
    </row>
    <row r="163" ht="24.0" customHeight="1">
      <c r="A163" s="78"/>
      <c r="B163" s="99"/>
      <c r="C163" s="78"/>
      <c r="D163" s="78"/>
      <c r="E163" s="99"/>
      <c r="F163" s="99"/>
      <c r="G163" s="107"/>
      <c r="H163" s="99"/>
      <c r="I163" s="66" t="str">
        <f t="shared" si="1"/>
        <v/>
      </c>
      <c r="J163" s="78"/>
      <c r="K163" s="108"/>
      <c r="L163" s="78"/>
      <c r="M163" s="78"/>
    </row>
    <row r="164" ht="24.0" customHeight="1">
      <c r="A164" s="78"/>
      <c r="B164" s="99"/>
      <c r="C164" s="78"/>
      <c r="D164" s="78"/>
      <c r="E164" s="99"/>
      <c r="F164" s="99"/>
      <c r="G164" s="107"/>
      <c r="H164" s="99"/>
      <c r="I164" s="66" t="str">
        <f t="shared" si="1"/>
        <v/>
      </c>
      <c r="J164" s="78"/>
      <c r="K164" s="108"/>
      <c r="L164" s="78"/>
      <c r="M164" s="78"/>
    </row>
    <row r="165" ht="24.0" customHeight="1">
      <c r="A165" s="78"/>
      <c r="B165" s="99"/>
      <c r="C165" s="78"/>
      <c r="D165" s="78"/>
      <c r="E165" s="99"/>
      <c r="F165" s="99"/>
      <c r="G165" s="107"/>
      <c r="H165" s="99"/>
      <c r="I165" s="66" t="str">
        <f t="shared" si="1"/>
        <v/>
      </c>
      <c r="J165" s="78"/>
      <c r="K165" s="108"/>
      <c r="L165" s="78"/>
      <c r="M165" s="78"/>
    </row>
    <row r="166" ht="24.0" customHeight="1">
      <c r="A166" s="78"/>
      <c r="B166" s="99"/>
      <c r="C166" s="78"/>
      <c r="D166" s="78"/>
      <c r="E166" s="99"/>
      <c r="F166" s="99"/>
      <c r="G166" s="107"/>
      <c r="H166" s="99"/>
      <c r="I166" s="66" t="str">
        <f t="shared" si="1"/>
        <v/>
      </c>
      <c r="J166" s="78"/>
      <c r="K166" s="108"/>
      <c r="L166" s="78"/>
      <c r="M166" s="78"/>
    </row>
    <row r="167" ht="24.0" customHeight="1">
      <c r="A167" s="78"/>
      <c r="B167" s="99"/>
      <c r="C167" s="78"/>
      <c r="D167" s="78"/>
      <c r="E167" s="99"/>
      <c r="F167" s="99"/>
      <c r="G167" s="107"/>
      <c r="H167" s="99"/>
      <c r="I167" s="66" t="str">
        <f t="shared" si="1"/>
        <v/>
      </c>
      <c r="J167" s="78"/>
      <c r="K167" s="108"/>
      <c r="L167" s="78"/>
      <c r="M167" s="78"/>
    </row>
    <row r="168" ht="24.0" customHeight="1">
      <c r="A168" s="78"/>
      <c r="B168" s="99"/>
      <c r="C168" s="78"/>
      <c r="D168" s="78"/>
      <c r="E168" s="99"/>
      <c r="F168" s="99"/>
      <c r="G168" s="107"/>
      <c r="H168" s="99"/>
      <c r="I168" s="66" t="str">
        <f t="shared" si="1"/>
        <v/>
      </c>
      <c r="J168" s="78"/>
      <c r="K168" s="108"/>
      <c r="L168" s="78"/>
      <c r="M168" s="78"/>
    </row>
    <row r="169" ht="24.0" customHeight="1">
      <c r="A169" s="78"/>
      <c r="B169" s="99"/>
      <c r="C169" s="78"/>
      <c r="D169" s="78"/>
      <c r="E169" s="99"/>
      <c r="F169" s="99"/>
      <c r="G169" s="107"/>
      <c r="H169" s="99"/>
      <c r="I169" s="66" t="str">
        <f t="shared" si="1"/>
        <v/>
      </c>
      <c r="J169" s="78"/>
      <c r="K169" s="108"/>
      <c r="L169" s="78"/>
      <c r="M169" s="78"/>
    </row>
    <row r="170" ht="24.0" customHeight="1">
      <c r="A170" s="78"/>
      <c r="B170" s="99"/>
      <c r="C170" s="78"/>
      <c r="D170" s="78"/>
      <c r="E170" s="99"/>
      <c r="F170" s="99"/>
      <c r="G170" s="107"/>
      <c r="H170" s="99"/>
      <c r="I170" s="66" t="str">
        <f t="shared" si="1"/>
        <v/>
      </c>
      <c r="J170" s="78"/>
      <c r="K170" s="108"/>
      <c r="L170" s="78"/>
      <c r="M170" s="78"/>
    </row>
    <row r="171" ht="24.0" customHeight="1">
      <c r="A171" s="78"/>
      <c r="B171" s="99"/>
      <c r="C171" s="78"/>
      <c r="D171" s="78"/>
      <c r="E171" s="99"/>
      <c r="F171" s="99"/>
      <c r="G171" s="107"/>
      <c r="H171" s="99"/>
      <c r="I171" s="66" t="str">
        <f t="shared" si="1"/>
        <v/>
      </c>
      <c r="J171" s="78"/>
      <c r="K171" s="108"/>
      <c r="L171" s="78"/>
      <c r="M171" s="78"/>
    </row>
    <row r="172" ht="24.0" customHeight="1">
      <c r="A172" s="78"/>
      <c r="B172" s="99"/>
      <c r="C172" s="78"/>
      <c r="D172" s="78"/>
      <c r="E172" s="99"/>
      <c r="F172" s="99"/>
      <c r="G172" s="107"/>
      <c r="H172" s="99"/>
      <c r="I172" s="66" t="str">
        <f t="shared" si="1"/>
        <v/>
      </c>
      <c r="J172" s="78"/>
      <c r="K172" s="108"/>
      <c r="L172" s="78"/>
      <c r="M172" s="78"/>
    </row>
    <row r="173" ht="24.0" customHeight="1">
      <c r="A173" s="78"/>
      <c r="B173" s="99"/>
      <c r="C173" s="78"/>
      <c r="D173" s="78"/>
      <c r="E173" s="99"/>
      <c r="F173" s="99"/>
      <c r="G173" s="107"/>
      <c r="H173" s="99"/>
      <c r="I173" s="66" t="str">
        <f t="shared" si="1"/>
        <v/>
      </c>
      <c r="J173" s="78"/>
      <c r="K173" s="108"/>
      <c r="L173" s="78"/>
      <c r="M173" s="78"/>
    </row>
    <row r="174" ht="24.0" customHeight="1">
      <c r="A174" s="78"/>
      <c r="B174" s="99"/>
      <c r="C174" s="78"/>
      <c r="D174" s="78"/>
      <c r="E174" s="99"/>
      <c r="F174" s="99"/>
      <c r="G174" s="107"/>
      <c r="H174" s="99"/>
      <c r="I174" s="66" t="str">
        <f t="shared" si="1"/>
        <v/>
      </c>
      <c r="J174" s="78"/>
      <c r="K174" s="108"/>
      <c r="L174" s="78"/>
      <c r="M174" s="78"/>
    </row>
    <row r="175" ht="24.0" customHeight="1">
      <c r="A175" s="78"/>
      <c r="B175" s="99"/>
      <c r="C175" s="78"/>
      <c r="D175" s="78"/>
      <c r="E175" s="99"/>
      <c r="F175" s="99"/>
      <c r="G175" s="107"/>
      <c r="H175" s="99"/>
      <c r="I175" s="66" t="str">
        <f t="shared" si="1"/>
        <v/>
      </c>
      <c r="J175" s="78"/>
      <c r="K175" s="108"/>
      <c r="L175" s="78"/>
      <c r="M175" s="78"/>
    </row>
    <row r="176" ht="24.0" customHeight="1">
      <c r="A176" s="78"/>
      <c r="B176" s="99"/>
      <c r="C176" s="78"/>
      <c r="D176" s="78"/>
      <c r="E176" s="99"/>
      <c r="F176" s="99"/>
      <c r="G176" s="107"/>
      <c r="H176" s="99"/>
      <c r="I176" s="66" t="str">
        <f t="shared" si="1"/>
        <v/>
      </c>
      <c r="J176" s="78"/>
      <c r="K176" s="108"/>
      <c r="L176" s="78"/>
      <c r="M176" s="78"/>
    </row>
    <row r="177" ht="24.0" customHeight="1">
      <c r="A177" s="78"/>
      <c r="B177" s="99"/>
      <c r="C177" s="78"/>
      <c r="D177" s="78"/>
      <c r="E177" s="99"/>
      <c r="F177" s="99"/>
      <c r="G177" s="107"/>
      <c r="H177" s="99"/>
      <c r="I177" s="66" t="str">
        <f t="shared" si="1"/>
        <v/>
      </c>
      <c r="J177" s="78"/>
      <c r="K177" s="108"/>
      <c r="L177" s="78"/>
      <c r="M177" s="78"/>
    </row>
    <row r="178" ht="24.0" customHeight="1">
      <c r="A178" s="78"/>
      <c r="B178" s="99"/>
      <c r="C178" s="78"/>
      <c r="D178" s="78"/>
      <c r="E178" s="99"/>
      <c r="F178" s="99"/>
      <c r="G178" s="107"/>
      <c r="H178" s="99"/>
      <c r="I178" s="66" t="str">
        <f t="shared" si="1"/>
        <v/>
      </c>
      <c r="J178" s="78"/>
      <c r="K178" s="108"/>
      <c r="L178" s="78"/>
      <c r="M178" s="78"/>
    </row>
    <row r="179" ht="24.0" customHeight="1">
      <c r="A179" s="78"/>
      <c r="B179" s="99"/>
      <c r="C179" s="78"/>
      <c r="D179" s="78"/>
      <c r="E179" s="99"/>
      <c r="F179" s="99"/>
      <c r="G179" s="107"/>
      <c r="H179" s="99"/>
      <c r="I179" s="66" t="str">
        <f t="shared" si="1"/>
        <v/>
      </c>
      <c r="J179" s="78"/>
      <c r="K179" s="108"/>
      <c r="L179" s="78"/>
      <c r="M179" s="78"/>
    </row>
    <row r="180" ht="24.0" customHeight="1">
      <c r="A180" s="78"/>
      <c r="B180" s="99"/>
      <c r="C180" s="78"/>
      <c r="D180" s="78"/>
      <c r="E180" s="99"/>
      <c r="F180" s="99"/>
      <c r="G180" s="107"/>
      <c r="H180" s="99"/>
      <c r="I180" s="66" t="str">
        <f t="shared" si="1"/>
        <v/>
      </c>
      <c r="J180" s="78"/>
      <c r="K180" s="108"/>
      <c r="L180" s="78"/>
      <c r="M180" s="78"/>
    </row>
    <row r="181" ht="24.0" customHeight="1">
      <c r="A181" s="78"/>
      <c r="B181" s="99"/>
      <c r="C181" s="78"/>
      <c r="D181" s="78"/>
      <c r="E181" s="99"/>
      <c r="F181" s="99"/>
      <c r="G181" s="107"/>
      <c r="H181" s="99"/>
      <c r="I181" s="66" t="str">
        <f t="shared" si="1"/>
        <v/>
      </c>
      <c r="J181" s="78"/>
      <c r="K181" s="108"/>
      <c r="L181" s="78"/>
      <c r="M181" s="78"/>
    </row>
    <row r="182" ht="24.0" customHeight="1">
      <c r="A182" s="78"/>
      <c r="B182" s="99"/>
      <c r="C182" s="78"/>
      <c r="D182" s="78"/>
      <c r="E182" s="99"/>
      <c r="F182" s="99"/>
      <c r="G182" s="107"/>
      <c r="H182" s="99"/>
      <c r="I182" s="66" t="str">
        <f t="shared" si="1"/>
        <v/>
      </c>
      <c r="J182" s="78"/>
      <c r="K182" s="108"/>
      <c r="L182" s="78"/>
      <c r="M182" s="78"/>
    </row>
    <row r="183" ht="24.0" customHeight="1">
      <c r="A183" s="78"/>
      <c r="B183" s="99"/>
      <c r="C183" s="78"/>
      <c r="D183" s="78"/>
      <c r="E183" s="99"/>
      <c r="F183" s="99"/>
      <c r="G183" s="107"/>
      <c r="H183" s="99"/>
      <c r="I183" s="66" t="str">
        <f t="shared" si="1"/>
        <v/>
      </c>
      <c r="J183" s="78"/>
      <c r="K183" s="108"/>
      <c r="L183" s="78"/>
      <c r="M183" s="78"/>
    </row>
    <row r="184" ht="24.0" customHeight="1">
      <c r="A184" s="78"/>
      <c r="B184" s="99"/>
      <c r="C184" s="78"/>
      <c r="D184" s="78"/>
      <c r="E184" s="99"/>
      <c r="F184" s="99"/>
      <c r="G184" s="107"/>
      <c r="H184" s="99"/>
      <c r="I184" s="66" t="str">
        <f t="shared" si="1"/>
        <v/>
      </c>
      <c r="J184" s="78"/>
      <c r="K184" s="108"/>
      <c r="L184" s="78"/>
      <c r="M184" s="78"/>
    </row>
    <row r="185" ht="24.0" customHeight="1">
      <c r="A185" s="78"/>
      <c r="B185" s="99"/>
      <c r="C185" s="78"/>
      <c r="D185" s="78"/>
      <c r="E185" s="99"/>
      <c r="F185" s="99"/>
      <c r="G185" s="107"/>
      <c r="H185" s="99"/>
      <c r="I185" s="66" t="str">
        <f t="shared" si="1"/>
        <v/>
      </c>
      <c r="J185" s="78"/>
      <c r="K185" s="108"/>
      <c r="L185" s="78"/>
      <c r="M185" s="78"/>
    </row>
    <row r="186" ht="24.0" customHeight="1">
      <c r="A186" s="78"/>
      <c r="B186" s="99"/>
      <c r="C186" s="78"/>
      <c r="D186" s="78"/>
      <c r="E186" s="99"/>
      <c r="F186" s="99"/>
      <c r="G186" s="107"/>
      <c r="H186" s="99"/>
      <c r="I186" s="66" t="str">
        <f t="shared" si="1"/>
        <v/>
      </c>
      <c r="J186" s="78"/>
      <c r="K186" s="108"/>
      <c r="L186" s="78"/>
      <c r="M186" s="78"/>
    </row>
    <row r="187" ht="24.0" customHeight="1">
      <c r="A187" s="78"/>
      <c r="B187" s="99"/>
      <c r="C187" s="78"/>
      <c r="D187" s="78"/>
      <c r="E187" s="99"/>
      <c r="F187" s="99"/>
      <c r="G187" s="107"/>
      <c r="H187" s="99"/>
      <c r="I187" s="66" t="str">
        <f t="shared" si="1"/>
        <v/>
      </c>
      <c r="J187" s="78"/>
      <c r="K187" s="108"/>
      <c r="L187" s="78"/>
      <c r="M187" s="78"/>
    </row>
    <row r="188" ht="24.0" customHeight="1">
      <c r="A188" s="78"/>
      <c r="B188" s="99"/>
      <c r="C188" s="78"/>
      <c r="D188" s="78"/>
      <c r="E188" s="99"/>
      <c r="F188" s="99"/>
      <c r="G188" s="107"/>
      <c r="H188" s="99"/>
      <c r="I188" s="66" t="str">
        <f t="shared" si="1"/>
        <v/>
      </c>
      <c r="J188" s="78"/>
      <c r="K188" s="108"/>
      <c r="L188" s="78"/>
      <c r="M188" s="78"/>
    </row>
    <row r="189" ht="24.0" customHeight="1">
      <c r="A189" s="78"/>
      <c r="B189" s="99"/>
      <c r="C189" s="78"/>
      <c r="D189" s="78"/>
      <c r="E189" s="99"/>
      <c r="F189" s="99"/>
      <c r="G189" s="107"/>
      <c r="H189" s="99"/>
      <c r="I189" s="66" t="str">
        <f t="shared" si="1"/>
        <v/>
      </c>
      <c r="J189" s="78"/>
      <c r="K189" s="108"/>
      <c r="L189" s="78"/>
      <c r="M189" s="78"/>
    </row>
    <row r="190" ht="24.0" customHeight="1">
      <c r="A190" s="78"/>
      <c r="B190" s="99"/>
      <c r="C190" s="78"/>
      <c r="D190" s="78"/>
      <c r="E190" s="99"/>
      <c r="F190" s="99"/>
      <c r="G190" s="107"/>
      <c r="H190" s="99"/>
      <c r="I190" s="66" t="str">
        <f t="shared" si="1"/>
        <v/>
      </c>
      <c r="J190" s="78"/>
      <c r="K190" s="108"/>
      <c r="L190" s="78"/>
      <c r="M190" s="78"/>
    </row>
    <row r="191" ht="24.0" customHeight="1">
      <c r="A191" s="78"/>
      <c r="B191" s="99"/>
      <c r="C191" s="78"/>
      <c r="D191" s="78"/>
      <c r="E191" s="99"/>
      <c r="F191" s="99"/>
      <c r="G191" s="107"/>
      <c r="H191" s="99"/>
      <c r="I191" s="66" t="str">
        <f t="shared" si="1"/>
        <v/>
      </c>
      <c r="J191" s="78"/>
      <c r="K191" s="108"/>
      <c r="L191" s="78"/>
      <c r="M191" s="78"/>
    </row>
    <row r="192" ht="24.0" customHeight="1">
      <c r="A192" s="78"/>
      <c r="B192" s="99"/>
      <c r="C192" s="78"/>
      <c r="D192" s="78"/>
      <c r="E192" s="99"/>
      <c r="F192" s="99"/>
      <c r="G192" s="107"/>
      <c r="H192" s="99"/>
      <c r="I192" s="66" t="str">
        <f t="shared" si="1"/>
        <v/>
      </c>
      <c r="J192" s="78"/>
      <c r="K192" s="108"/>
      <c r="L192" s="78"/>
      <c r="M192" s="78"/>
    </row>
    <row r="193" ht="24.0" customHeight="1">
      <c r="A193" s="78"/>
      <c r="B193" s="99"/>
      <c r="C193" s="78"/>
      <c r="D193" s="78"/>
      <c r="E193" s="99"/>
      <c r="F193" s="99"/>
      <c r="G193" s="107"/>
      <c r="H193" s="99"/>
      <c r="I193" s="66" t="str">
        <f t="shared" si="1"/>
        <v/>
      </c>
      <c r="J193" s="78"/>
      <c r="K193" s="108"/>
      <c r="L193" s="78"/>
      <c r="M193" s="78"/>
    </row>
    <row r="194" ht="24.0" customHeight="1">
      <c r="A194" s="78"/>
      <c r="B194" s="99"/>
      <c r="C194" s="78"/>
      <c r="D194" s="78"/>
      <c r="E194" s="99"/>
      <c r="F194" s="99"/>
      <c r="G194" s="107"/>
      <c r="H194" s="99"/>
      <c r="I194" s="66" t="str">
        <f t="shared" si="1"/>
        <v/>
      </c>
      <c r="J194" s="78"/>
      <c r="K194" s="108"/>
      <c r="L194" s="78"/>
      <c r="M194" s="78"/>
    </row>
    <row r="195" ht="24.0" customHeight="1">
      <c r="A195" s="78"/>
      <c r="B195" s="99"/>
      <c r="C195" s="78"/>
      <c r="D195" s="78"/>
      <c r="E195" s="99"/>
      <c r="F195" s="99"/>
      <c r="G195" s="107"/>
      <c r="H195" s="99"/>
      <c r="I195" s="66" t="str">
        <f t="shared" si="1"/>
        <v/>
      </c>
      <c r="J195" s="78"/>
      <c r="K195" s="108"/>
      <c r="L195" s="78"/>
      <c r="M195" s="78"/>
    </row>
    <row r="196" ht="24.0" customHeight="1">
      <c r="A196" s="78"/>
      <c r="B196" s="99"/>
      <c r="C196" s="78"/>
      <c r="D196" s="78"/>
      <c r="E196" s="99"/>
      <c r="F196" s="99"/>
      <c r="G196" s="107"/>
      <c r="H196" s="99"/>
      <c r="I196" s="66" t="str">
        <f t="shared" si="1"/>
        <v/>
      </c>
      <c r="J196" s="78"/>
      <c r="K196" s="108"/>
      <c r="L196" s="78"/>
      <c r="M196" s="78"/>
    </row>
    <row r="197" ht="24.0" customHeight="1">
      <c r="A197" s="78"/>
      <c r="B197" s="99"/>
      <c r="C197" s="78"/>
      <c r="D197" s="78"/>
      <c r="E197" s="99"/>
      <c r="F197" s="99"/>
      <c r="G197" s="107"/>
      <c r="H197" s="99"/>
      <c r="I197" s="66" t="str">
        <f t="shared" si="1"/>
        <v/>
      </c>
      <c r="J197" s="78"/>
      <c r="K197" s="108"/>
      <c r="L197" s="78"/>
      <c r="M197" s="78"/>
    </row>
    <row r="198" ht="24.0" customHeight="1">
      <c r="A198" s="78"/>
      <c r="B198" s="99"/>
      <c r="C198" s="78"/>
      <c r="D198" s="78"/>
      <c r="E198" s="99"/>
      <c r="F198" s="99"/>
      <c r="G198" s="107"/>
      <c r="H198" s="99"/>
      <c r="I198" s="66" t="str">
        <f t="shared" si="1"/>
        <v/>
      </c>
      <c r="J198" s="78"/>
      <c r="K198" s="108"/>
      <c r="L198" s="78"/>
      <c r="M198" s="78"/>
    </row>
    <row r="199" ht="24.0" customHeight="1">
      <c r="A199" s="78"/>
      <c r="B199" s="99"/>
      <c r="C199" s="78"/>
      <c r="D199" s="78"/>
      <c r="E199" s="99"/>
      <c r="F199" s="99"/>
      <c r="G199" s="107"/>
      <c r="H199" s="99"/>
      <c r="I199" s="66" t="str">
        <f t="shared" si="1"/>
        <v/>
      </c>
      <c r="J199" s="78"/>
      <c r="K199" s="108"/>
      <c r="L199" s="78"/>
      <c r="M199" s="78"/>
    </row>
    <row r="200" ht="24.0" customHeight="1">
      <c r="A200" s="78"/>
      <c r="B200" s="99"/>
      <c r="C200" s="78"/>
      <c r="D200" s="78"/>
      <c r="E200" s="99"/>
      <c r="F200" s="99"/>
      <c r="G200" s="107"/>
      <c r="H200" s="99"/>
      <c r="I200" s="66" t="str">
        <f t="shared" si="1"/>
        <v/>
      </c>
      <c r="J200" s="78"/>
      <c r="K200" s="108"/>
      <c r="L200" s="78"/>
      <c r="M200" s="78"/>
    </row>
    <row r="201" ht="24.0" customHeight="1">
      <c r="A201" s="78"/>
      <c r="B201" s="99"/>
      <c r="C201" s="78"/>
      <c r="D201" s="78"/>
      <c r="E201" s="99"/>
      <c r="F201" s="99"/>
      <c r="G201" s="107"/>
      <c r="H201" s="99"/>
      <c r="I201" s="66" t="str">
        <f t="shared" si="1"/>
        <v/>
      </c>
      <c r="J201" s="78"/>
      <c r="K201" s="108"/>
      <c r="L201" s="78"/>
      <c r="M201" s="78"/>
    </row>
    <row r="202" ht="24.0" customHeight="1">
      <c r="A202" s="78"/>
      <c r="B202" s="99"/>
      <c r="C202" s="78"/>
      <c r="D202" s="78"/>
      <c r="E202" s="99"/>
      <c r="F202" s="99"/>
      <c r="G202" s="107"/>
      <c r="H202" s="99"/>
      <c r="I202" s="66" t="str">
        <f t="shared" si="1"/>
        <v/>
      </c>
      <c r="J202" s="78"/>
      <c r="K202" s="108"/>
      <c r="L202" s="78"/>
      <c r="M202" s="78"/>
    </row>
    <row r="203" ht="24.0" customHeight="1">
      <c r="A203" s="78"/>
      <c r="B203" s="99"/>
      <c r="C203" s="78"/>
      <c r="D203" s="78"/>
      <c r="E203" s="99"/>
      <c r="F203" s="99"/>
      <c r="G203" s="107"/>
      <c r="H203" s="99"/>
      <c r="I203" s="66" t="str">
        <f t="shared" si="1"/>
        <v/>
      </c>
      <c r="J203" s="78"/>
      <c r="K203" s="108"/>
      <c r="L203" s="78"/>
      <c r="M203" s="78"/>
    </row>
    <row r="204" ht="24.0" customHeight="1">
      <c r="A204" s="78"/>
      <c r="B204" s="99"/>
      <c r="C204" s="78"/>
      <c r="D204" s="78"/>
      <c r="E204" s="99"/>
      <c r="F204" s="99"/>
      <c r="G204" s="107"/>
      <c r="H204" s="99"/>
      <c r="I204" s="66" t="str">
        <f t="shared" si="1"/>
        <v/>
      </c>
      <c r="J204" s="78"/>
      <c r="K204" s="108"/>
      <c r="L204" s="78"/>
      <c r="M204" s="78"/>
    </row>
    <row r="205" ht="24.0" customHeight="1">
      <c r="A205" s="78"/>
      <c r="B205" s="99"/>
      <c r="C205" s="78"/>
      <c r="D205" s="78"/>
      <c r="E205" s="99"/>
      <c r="F205" s="99"/>
      <c r="G205" s="107"/>
      <c r="H205" s="99"/>
      <c r="I205" s="66" t="str">
        <f t="shared" si="1"/>
        <v/>
      </c>
      <c r="J205" s="78"/>
      <c r="K205" s="108"/>
      <c r="L205" s="78"/>
      <c r="M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B3"/>
  </mergeCells>
  <conditionalFormatting sqref="H6:H205">
    <cfRule type="containsText" dxfId="5" priority="1" operator="containsText" text="Submitted">
      <formula>NOT(ISERROR(SEARCH(("Submitted"),(H6))))</formula>
    </cfRule>
  </conditionalFormatting>
  <conditionalFormatting sqref="H6:H205">
    <cfRule type="containsText" dxfId="6" priority="2" operator="containsText" text="Ready">
      <formula>NOT(ISERROR(SEARCH(("Ready"),(H6))))</formula>
    </cfRule>
  </conditionalFormatting>
  <conditionalFormatting sqref="H6:H205">
    <cfRule type="containsText" dxfId="6" priority="3" operator="containsText" text="Admitted">
      <formula>NOT(ISERROR(SEARCH(("Admitted"),(H6))))</formula>
    </cfRule>
  </conditionalFormatting>
  <conditionalFormatting sqref="H6:H205">
    <cfRule type="containsText" dxfId="6" priority="4" operator="containsText" text="Awarded">
      <formula>NOT(ISERROR(SEARCH(("Awarded"),(H6))))</formula>
    </cfRule>
  </conditionalFormatting>
  <conditionalFormatting sqref="H6:H205">
    <cfRule type="containsText" dxfId="6" priority="5" operator="containsText" text="Completed">
      <formula>NOT(ISERROR(SEARCH(("Completed"),(H6))))</formula>
    </cfRule>
  </conditionalFormatting>
  <conditionalFormatting sqref="H6:H205">
    <cfRule type="containsText" dxfId="6" priority="6" operator="containsText" text="Done">
      <formula>NOT(ISERROR(SEARCH(("Done"),(H6))))</formula>
    </cfRule>
  </conditionalFormatting>
  <conditionalFormatting sqref="H6:H205">
    <cfRule type="containsText" dxfId="6" priority="7" operator="containsText" text="Final">
      <formula>NOT(ISERROR(SEARCH(("Final"),(H6))))</formula>
    </cfRule>
  </conditionalFormatting>
  <conditionalFormatting sqref="H6:H205">
    <cfRule type="containsText" dxfId="7" priority="8" operator="containsText" text="Preparing">
      <formula>NOT(ISERROR(SEARCH(("Preparing"),(H6))))</formula>
    </cfRule>
  </conditionalFormatting>
  <conditionalFormatting sqref="H6:H205">
    <cfRule type="containsText" dxfId="7" priority="9" operator="containsText" text="In Progress">
      <formula>NOT(ISERROR(SEARCH(("In Progress"),(H6))))</formula>
    </cfRule>
  </conditionalFormatting>
  <conditionalFormatting sqref="H6:H205">
    <cfRule type="containsText" dxfId="7" priority="10" operator="containsText" text="Shortlisted">
      <formula>NOT(ISERROR(SEARCH(("Shortlisted"),(H6))))</formula>
    </cfRule>
  </conditionalFormatting>
  <conditionalFormatting sqref="H6:H205">
    <cfRule type="containsText" dxfId="8" priority="11" operator="containsText" text="Researching">
      <formula>NOT(ISERROR(SEARCH(("Researching"),(H6))))</formula>
    </cfRule>
  </conditionalFormatting>
  <conditionalFormatting sqref="H6:H205">
    <cfRule type="containsText" dxfId="8" priority="12" operator="containsText" text="Exploring">
      <formula>NOT(ISERROR(SEARCH(("Exploring"),(H6))))</formula>
    </cfRule>
  </conditionalFormatting>
  <conditionalFormatting sqref="H6:H205">
    <cfRule type="containsText" dxfId="9" priority="13" operator="containsText" text="Needs Verification">
      <formula>NOT(ISERROR(SEARCH(("Needs Verification"),(H6))))</formula>
    </cfRule>
  </conditionalFormatting>
  <conditionalFormatting sqref="H6:H205">
    <cfRule type="containsText" dxfId="10" priority="14" operator="containsText" text="Overdue">
      <formula>NOT(ISERROR(SEARCH(("Overdue"),(H6))))</formula>
    </cfRule>
  </conditionalFormatting>
  <conditionalFormatting sqref="H6:H205">
    <cfRule type="containsText" dxfId="10" priority="15" operator="containsText" text="Rejected">
      <formula>NOT(ISERROR(SEARCH(("Rejected"),(H6))))</formula>
    </cfRule>
  </conditionalFormatting>
  <conditionalFormatting sqref="H6:H205">
    <cfRule type="containsText" dxfId="10" priority="16" operator="containsText" text="Blocked">
      <formula>NOT(ISERROR(SEARCH(("Blocked"),(H6))))</formula>
    </cfRule>
  </conditionalFormatting>
  <conditionalFormatting sqref="G6:G205">
    <cfRule type="expression" dxfId="10" priority="17">
      <formula>AND(G6&lt;&gt;"",G6&lt;TODAY())</formula>
    </cfRule>
  </conditionalFormatting>
  <conditionalFormatting sqref="G6:G205">
    <cfRule type="expression" dxfId="9" priority="18">
      <formula>AND(G6&gt;=TODAY(),G6&lt;=TODAY()+7)</formula>
    </cfRule>
  </conditionalFormatting>
  <dataValidations>
    <dataValidation type="list" allowBlank="1" sqref="E6:E205">
      <formula1>"Program,Scholarship,Application,Scholarship Application,General"</formula1>
    </dataValidation>
    <dataValidation type="list" allowBlank="1" sqref="H6:H205">
      <formula1>"Active,Completed,Cancelled"</formula1>
    </dataValidation>
    <dataValidation type="custom" allowBlank="1" showDropDown="1" sqref="K6:K205">
      <formula1>OR(NOT(ISERROR(DATEVALUE(K6))), AND(ISNUMBER(K6), LEFT(CELL("format", K6))="D"))</formula1>
    </dataValidation>
    <dataValidation type="list" allowBlank="1" sqref="F6:F205">
      <formula1>"1,2,3,4,5"</formula1>
    </dataValidation>
    <dataValidation type="custom" allowBlank="1" showDropDown="1" sqref="I6:I205">
      <formula1>AND(ISNUMBER(I6),(NOT(OR(NOT(ISERROR(DATEVALUE(I6))), AND(ISNUMBER(I6), LEFT(CELL("format", I6))="D")))))</formula1>
    </dataValidation>
    <dataValidation allowBlank="1" showDropDown="1" sqref="A6:A205 C6:D205 J6:J205 L6:M205"/>
    <dataValidation type="list" allowBlank="1" sqref="B6:B205">
      <formula1>"Priority,Final,Funding,Document,Recommendation,Interview,Decision,Internal,Custom"</formula1>
    </dataValidation>
    <dataValidation type="custom" allowBlank="1" showDropDown="1" sqref="G6:G205">
      <formula1>OR(NOT(ISERROR(DATEVALUE(G6))), AND(ISNUMBER(G6), LEFT(CELL("format", G6))="D"))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6.0"/>
    <col customWidth="1" min="3" max="3" width="20.0"/>
    <col customWidth="1" min="4" max="4" width="18.0"/>
    <col customWidth="1" min="5" max="5" width="12.5"/>
    <col customWidth="1" min="6" max="6" width="16.0"/>
    <col customWidth="1" min="7" max="7" width="18.13"/>
    <col customWidth="1" min="8" max="8" width="14.63"/>
    <col customWidth="1" min="9" max="9" width="14.13"/>
    <col customWidth="1" min="10" max="10" width="44.0"/>
    <col customWidth="1" min="11" max="26" width="8.63"/>
  </cols>
  <sheetData>
    <row r="1" ht="33.75" customHeight="1">
      <c r="A1" s="1" t="s">
        <v>308</v>
      </c>
    </row>
    <row r="2" ht="27.75" customHeight="1">
      <c r="A2" s="2" t="s">
        <v>309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 ht="31.5" customHeight="1">
      <c r="A5" s="28" t="s">
        <v>310</v>
      </c>
      <c r="B5" s="28" t="s">
        <v>311</v>
      </c>
      <c r="C5" s="28" t="s">
        <v>243</v>
      </c>
      <c r="D5" s="28" t="s">
        <v>242</v>
      </c>
      <c r="E5" s="28" t="s">
        <v>73</v>
      </c>
      <c r="F5" s="28" t="s">
        <v>245</v>
      </c>
      <c r="G5" s="28" t="s">
        <v>70</v>
      </c>
      <c r="H5" s="28" t="s">
        <v>312</v>
      </c>
      <c r="I5" s="28" t="s">
        <v>82</v>
      </c>
      <c r="J5" s="28" t="s">
        <v>85</v>
      </c>
      <c r="K5" s="30" t="s">
        <v>70</v>
      </c>
      <c r="L5" s="30" t="s">
        <v>312</v>
      </c>
      <c r="M5" s="30" t="s">
        <v>82</v>
      </c>
      <c r="N5" s="30" t="s">
        <v>85</v>
      </c>
    </row>
    <row r="6" ht="24.0" customHeight="1">
      <c r="A6" s="80" t="s">
        <v>313</v>
      </c>
      <c r="B6" s="82" t="s">
        <v>314</v>
      </c>
      <c r="C6" s="86" t="s">
        <v>252</v>
      </c>
      <c r="D6" s="82" t="s">
        <v>161</v>
      </c>
      <c r="E6" s="86">
        <v>5.0</v>
      </c>
      <c r="F6" s="106">
        <v>46264.0</v>
      </c>
      <c r="G6" s="86" t="s">
        <v>315</v>
      </c>
      <c r="H6" s="109" t="b">
        <v>1</v>
      </c>
      <c r="I6" s="46">
        <f t="shared" ref="I6:I205" si="1">IF(F6="","",F6-TODAY())</f>
        <v>8</v>
      </c>
      <c r="J6" s="93" t="s">
        <v>316</v>
      </c>
    </row>
    <row r="7" ht="24.0" customHeight="1">
      <c r="A7" s="78"/>
      <c r="B7" s="78"/>
      <c r="C7" s="99"/>
      <c r="D7" s="78"/>
      <c r="E7" s="99"/>
      <c r="F7" s="108"/>
      <c r="G7" s="99"/>
      <c r="H7" s="110" t="b">
        <v>0</v>
      </c>
      <c r="I7" s="66" t="str">
        <f t="shared" si="1"/>
        <v/>
      </c>
      <c r="J7" s="78"/>
    </row>
    <row r="8" ht="24.0" customHeight="1">
      <c r="A8" s="78"/>
      <c r="B8" s="78"/>
      <c r="C8" s="99"/>
      <c r="D8" s="78"/>
      <c r="E8" s="99"/>
      <c r="F8" s="108"/>
      <c r="G8" s="99"/>
      <c r="H8" s="110" t="b">
        <v>0</v>
      </c>
      <c r="I8" s="66" t="str">
        <f t="shared" si="1"/>
        <v/>
      </c>
      <c r="J8" s="78"/>
    </row>
    <row r="9" ht="24.0" customHeight="1">
      <c r="A9" s="78"/>
      <c r="B9" s="78"/>
      <c r="C9" s="99"/>
      <c r="D9" s="78"/>
      <c r="E9" s="99"/>
      <c r="F9" s="108"/>
      <c r="G9" s="99"/>
      <c r="H9" s="110" t="b">
        <v>0</v>
      </c>
      <c r="I9" s="66" t="str">
        <f t="shared" si="1"/>
        <v/>
      </c>
      <c r="J9" s="78"/>
    </row>
    <row r="10" ht="24.0" customHeight="1">
      <c r="A10" s="78"/>
      <c r="B10" s="78"/>
      <c r="C10" s="99"/>
      <c r="D10" s="78"/>
      <c r="E10" s="99"/>
      <c r="F10" s="108"/>
      <c r="G10" s="99"/>
      <c r="H10" s="110" t="b">
        <v>0</v>
      </c>
      <c r="I10" s="66" t="str">
        <f t="shared" si="1"/>
        <v/>
      </c>
      <c r="J10" s="78"/>
    </row>
    <row r="11" ht="24.0" customHeight="1">
      <c r="A11" s="78"/>
      <c r="B11" s="78"/>
      <c r="C11" s="99"/>
      <c r="D11" s="78"/>
      <c r="E11" s="99"/>
      <c r="F11" s="108"/>
      <c r="G11" s="99"/>
      <c r="H11" s="110" t="b">
        <v>0</v>
      </c>
      <c r="I11" s="66" t="str">
        <f t="shared" si="1"/>
        <v/>
      </c>
      <c r="J11" s="78"/>
    </row>
    <row r="12" ht="24.0" customHeight="1">
      <c r="A12" s="78"/>
      <c r="B12" s="78"/>
      <c r="C12" s="99"/>
      <c r="D12" s="78"/>
      <c r="E12" s="99"/>
      <c r="F12" s="108"/>
      <c r="G12" s="99"/>
      <c r="H12" s="110" t="b">
        <v>0</v>
      </c>
      <c r="I12" s="66" t="str">
        <f t="shared" si="1"/>
        <v/>
      </c>
      <c r="J12" s="78"/>
    </row>
    <row r="13" ht="24.0" customHeight="1">
      <c r="A13" s="78"/>
      <c r="B13" s="78"/>
      <c r="C13" s="99"/>
      <c r="D13" s="78"/>
      <c r="E13" s="99"/>
      <c r="F13" s="108"/>
      <c r="G13" s="99"/>
      <c r="H13" s="110" t="b">
        <v>0</v>
      </c>
      <c r="I13" s="66" t="str">
        <f t="shared" si="1"/>
        <v/>
      </c>
      <c r="J13" s="78"/>
    </row>
    <row r="14" ht="24.0" customHeight="1">
      <c r="A14" s="78"/>
      <c r="B14" s="78"/>
      <c r="C14" s="99"/>
      <c r="D14" s="78"/>
      <c r="E14" s="99"/>
      <c r="F14" s="108"/>
      <c r="G14" s="99"/>
      <c r="H14" s="110" t="b">
        <v>0</v>
      </c>
      <c r="I14" s="66" t="str">
        <f t="shared" si="1"/>
        <v/>
      </c>
      <c r="J14" s="78"/>
    </row>
    <row r="15" ht="24.0" customHeight="1">
      <c r="A15" s="78"/>
      <c r="B15" s="78"/>
      <c r="C15" s="99"/>
      <c r="D15" s="78"/>
      <c r="E15" s="99"/>
      <c r="F15" s="108"/>
      <c r="G15" s="99"/>
      <c r="H15" s="110" t="b">
        <v>0</v>
      </c>
      <c r="I15" s="66" t="str">
        <f t="shared" si="1"/>
        <v/>
      </c>
      <c r="J15" s="78"/>
    </row>
    <row r="16" ht="24.0" customHeight="1">
      <c r="A16" s="78"/>
      <c r="B16" s="78"/>
      <c r="C16" s="99"/>
      <c r="D16" s="78"/>
      <c r="E16" s="99"/>
      <c r="F16" s="108"/>
      <c r="G16" s="99"/>
      <c r="H16" s="110" t="b">
        <v>0</v>
      </c>
      <c r="I16" s="66" t="str">
        <f t="shared" si="1"/>
        <v/>
      </c>
      <c r="J16" s="78"/>
    </row>
    <row r="17" ht="24.0" customHeight="1">
      <c r="A17" s="78"/>
      <c r="B17" s="78"/>
      <c r="C17" s="99"/>
      <c r="D17" s="78"/>
      <c r="E17" s="99"/>
      <c r="F17" s="108"/>
      <c r="G17" s="99"/>
      <c r="H17" s="110" t="b">
        <v>0</v>
      </c>
      <c r="I17" s="66" t="str">
        <f t="shared" si="1"/>
        <v/>
      </c>
      <c r="J17" s="78"/>
    </row>
    <row r="18" ht="24.0" customHeight="1">
      <c r="A18" s="78"/>
      <c r="B18" s="78"/>
      <c r="C18" s="99"/>
      <c r="D18" s="78"/>
      <c r="E18" s="99"/>
      <c r="F18" s="108"/>
      <c r="G18" s="99"/>
      <c r="H18" s="110" t="b">
        <v>0</v>
      </c>
      <c r="I18" s="66" t="str">
        <f t="shared" si="1"/>
        <v/>
      </c>
      <c r="J18" s="78"/>
    </row>
    <row r="19" ht="24.0" customHeight="1">
      <c r="A19" s="78"/>
      <c r="B19" s="78"/>
      <c r="C19" s="99"/>
      <c r="D19" s="78"/>
      <c r="E19" s="99"/>
      <c r="F19" s="108"/>
      <c r="G19" s="99"/>
      <c r="H19" s="110" t="b">
        <v>0</v>
      </c>
      <c r="I19" s="66" t="str">
        <f t="shared" si="1"/>
        <v/>
      </c>
      <c r="J19" s="78"/>
    </row>
    <row r="20" ht="24.0" customHeight="1">
      <c r="A20" s="78"/>
      <c r="B20" s="78"/>
      <c r="C20" s="99"/>
      <c r="D20" s="78"/>
      <c r="E20" s="99"/>
      <c r="F20" s="108"/>
      <c r="G20" s="99"/>
      <c r="H20" s="110" t="b">
        <v>0</v>
      </c>
      <c r="I20" s="66" t="str">
        <f t="shared" si="1"/>
        <v/>
      </c>
      <c r="J20" s="78"/>
    </row>
    <row r="21" ht="24.0" customHeight="1">
      <c r="A21" s="78"/>
      <c r="B21" s="78"/>
      <c r="C21" s="99"/>
      <c r="D21" s="78"/>
      <c r="E21" s="99"/>
      <c r="F21" s="108"/>
      <c r="G21" s="99"/>
      <c r="H21" s="110" t="b">
        <v>0</v>
      </c>
      <c r="I21" s="66" t="str">
        <f t="shared" si="1"/>
        <v/>
      </c>
      <c r="J21" s="78"/>
    </row>
    <row r="22" ht="24.0" customHeight="1">
      <c r="A22" s="78"/>
      <c r="B22" s="78"/>
      <c r="C22" s="99"/>
      <c r="D22" s="78"/>
      <c r="E22" s="99"/>
      <c r="F22" s="108"/>
      <c r="G22" s="99"/>
      <c r="H22" s="110" t="b">
        <v>0</v>
      </c>
      <c r="I22" s="66" t="str">
        <f t="shared" si="1"/>
        <v/>
      </c>
      <c r="J22" s="78"/>
    </row>
    <row r="23" ht="24.0" customHeight="1">
      <c r="A23" s="78"/>
      <c r="B23" s="78"/>
      <c r="C23" s="99"/>
      <c r="D23" s="78"/>
      <c r="E23" s="99"/>
      <c r="F23" s="108"/>
      <c r="G23" s="99"/>
      <c r="H23" s="110" t="b">
        <v>0</v>
      </c>
      <c r="I23" s="66" t="str">
        <f t="shared" si="1"/>
        <v/>
      </c>
      <c r="J23" s="78"/>
    </row>
    <row r="24" ht="24.0" customHeight="1">
      <c r="A24" s="78"/>
      <c r="B24" s="78"/>
      <c r="C24" s="99"/>
      <c r="D24" s="78"/>
      <c r="E24" s="99"/>
      <c r="F24" s="108"/>
      <c r="G24" s="99"/>
      <c r="H24" s="110" t="b">
        <v>0</v>
      </c>
      <c r="I24" s="66" t="str">
        <f t="shared" si="1"/>
        <v/>
      </c>
      <c r="J24" s="78"/>
    </row>
    <row r="25" ht="24.0" customHeight="1">
      <c r="A25" s="78"/>
      <c r="B25" s="78"/>
      <c r="C25" s="99"/>
      <c r="D25" s="78"/>
      <c r="E25" s="99"/>
      <c r="F25" s="108"/>
      <c r="G25" s="99"/>
      <c r="H25" s="110" t="b">
        <v>0</v>
      </c>
      <c r="I25" s="66" t="str">
        <f t="shared" si="1"/>
        <v/>
      </c>
      <c r="J25" s="78"/>
    </row>
    <row r="26" ht="24.0" customHeight="1">
      <c r="A26" s="78"/>
      <c r="B26" s="78"/>
      <c r="C26" s="99"/>
      <c r="D26" s="78"/>
      <c r="E26" s="99"/>
      <c r="F26" s="108"/>
      <c r="G26" s="99"/>
      <c r="H26" s="110" t="b">
        <v>0</v>
      </c>
      <c r="I26" s="66" t="str">
        <f t="shared" si="1"/>
        <v/>
      </c>
      <c r="J26" s="78"/>
    </row>
    <row r="27" ht="24.0" customHeight="1">
      <c r="A27" s="78"/>
      <c r="B27" s="78"/>
      <c r="C27" s="99"/>
      <c r="D27" s="78"/>
      <c r="E27" s="99"/>
      <c r="F27" s="108"/>
      <c r="G27" s="99"/>
      <c r="H27" s="110" t="b">
        <v>0</v>
      </c>
      <c r="I27" s="66" t="str">
        <f t="shared" si="1"/>
        <v/>
      </c>
      <c r="J27" s="78"/>
    </row>
    <row r="28" ht="24.0" customHeight="1">
      <c r="A28" s="78"/>
      <c r="B28" s="78"/>
      <c r="C28" s="99"/>
      <c r="D28" s="78"/>
      <c r="E28" s="99"/>
      <c r="F28" s="108"/>
      <c r="G28" s="99"/>
      <c r="H28" s="110" t="b">
        <v>0</v>
      </c>
      <c r="I28" s="66" t="str">
        <f t="shared" si="1"/>
        <v/>
      </c>
      <c r="J28" s="78"/>
    </row>
    <row r="29" ht="24.0" customHeight="1">
      <c r="A29" s="78"/>
      <c r="B29" s="78"/>
      <c r="C29" s="99"/>
      <c r="D29" s="78"/>
      <c r="E29" s="99"/>
      <c r="F29" s="108"/>
      <c r="G29" s="99"/>
      <c r="H29" s="110" t="b">
        <v>0</v>
      </c>
      <c r="I29" s="66" t="str">
        <f t="shared" si="1"/>
        <v/>
      </c>
      <c r="J29" s="78"/>
    </row>
    <row r="30" ht="24.0" customHeight="1">
      <c r="A30" s="78"/>
      <c r="B30" s="78"/>
      <c r="C30" s="99"/>
      <c r="D30" s="78"/>
      <c r="E30" s="99"/>
      <c r="F30" s="108"/>
      <c r="G30" s="99"/>
      <c r="H30" s="110" t="b">
        <v>0</v>
      </c>
      <c r="I30" s="66" t="str">
        <f t="shared" si="1"/>
        <v/>
      </c>
      <c r="J30" s="78"/>
    </row>
    <row r="31" ht="24.0" customHeight="1">
      <c r="A31" s="78"/>
      <c r="B31" s="78"/>
      <c r="C31" s="99"/>
      <c r="D31" s="78"/>
      <c r="E31" s="99"/>
      <c r="F31" s="108"/>
      <c r="G31" s="99"/>
      <c r="H31" s="110" t="b">
        <v>0</v>
      </c>
      <c r="I31" s="66" t="str">
        <f t="shared" si="1"/>
        <v/>
      </c>
      <c r="J31" s="78"/>
    </row>
    <row r="32" ht="24.0" customHeight="1">
      <c r="A32" s="78"/>
      <c r="B32" s="78"/>
      <c r="C32" s="99"/>
      <c r="D32" s="78"/>
      <c r="E32" s="99"/>
      <c r="F32" s="108"/>
      <c r="G32" s="99"/>
      <c r="H32" s="110" t="b">
        <v>0</v>
      </c>
      <c r="I32" s="66" t="str">
        <f t="shared" si="1"/>
        <v/>
      </c>
      <c r="J32" s="78"/>
    </row>
    <row r="33" ht="24.0" customHeight="1">
      <c r="A33" s="78"/>
      <c r="B33" s="78"/>
      <c r="C33" s="99"/>
      <c r="D33" s="78"/>
      <c r="E33" s="99"/>
      <c r="F33" s="108"/>
      <c r="G33" s="99"/>
      <c r="H33" s="110" t="b">
        <v>0</v>
      </c>
      <c r="I33" s="66" t="str">
        <f t="shared" si="1"/>
        <v/>
      </c>
      <c r="J33" s="78"/>
    </row>
    <row r="34" ht="24.0" customHeight="1">
      <c r="A34" s="78"/>
      <c r="B34" s="78"/>
      <c r="C34" s="99"/>
      <c r="D34" s="78"/>
      <c r="E34" s="99"/>
      <c r="F34" s="108"/>
      <c r="G34" s="99"/>
      <c r="H34" s="110" t="b">
        <v>0</v>
      </c>
      <c r="I34" s="66" t="str">
        <f t="shared" si="1"/>
        <v/>
      </c>
      <c r="J34" s="78"/>
    </row>
    <row r="35" ht="24.0" customHeight="1">
      <c r="A35" s="78"/>
      <c r="B35" s="78"/>
      <c r="C35" s="99"/>
      <c r="D35" s="78"/>
      <c r="E35" s="99"/>
      <c r="F35" s="108"/>
      <c r="G35" s="99"/>
      <c r="H35" s="110" t="b">
        <v>0</v>
      </c>
      <c r="I35" s="66" t="str">
        <f t="shared" si="1"/>
        <v/>
      </c>
      <c r="J35" s="78"/>
    </row>
    <row r="36" ht="24.0" customHeight="1">
      <c r="A36" s="78"/>
      <c r="B36" s="78"/>
      <c r="C36" s="99"/>
      <c r="D36" s="78"/>
      <c r="E36" s="99"/>
      <c r="F36" s="108"/>
      <c r="G36" s="99"/>
      <c r="H36" s="110" t="b">
        <v>0</v>
      </c>
      <c r="I36" s="66" t="str">
        <f t="shared" si="1"/>
        <v/>
      </c>
      <c r="J36" s="78"/>
    </row>
    <row r="37" ht="24.0" customHeight="1">
      <c r="A37" s="78"/>
      <c r="B37" s="78"/>
      <c r="C37" s="99"/>
      <c r="D37" s="78"/>
      <c r="E37" s="99"/>
      <c r="F37" s="108"/>
      <c r="G37" s="99"/>
      <c r="H37" s="110" t="b">
        <v>0</v>
      </c>
      <c r="I37" s="66" t="str">
        <f t="shared" si="1"/>
        <v/>
      </c>
      <c r="J37" s="78"/>
    </row>
    <row r="38" ht="24.0" customHeight="1">
      <c r="A38" s="78"/>
      <c r="B38" s="78"/>
      <c r="C38" s="99"/>
      <c r="D38" s="78"/>
      <c r="E38" s="99"/>
      <c r="F38" s="108"/>
      <c r="G38" s="99"/>
      <c r="H38" s="110" t="b">
        <v>0</v>
      </c>
      <c r="I38" s="66" t="str">
        <f t="shared" si="1"/>
        <v/>
      </c>
      <c r="J38" s="78"/>
    </row>
    <row r="39" ht="24.0" customHeight="1">
      <c r="A39" s="78"/>
      <c r="B39" s="78"/>
      <c r="C39" s="99"/>
      <c r="D39" s="78"/>
      <c r="E39" s="99"/>
      <c r="F39" s="108"/>
      <c r="G39" s="99"/>
      <c r="H39" s="110" t="b">
        <v>0</v>
      </c>
      <c r="I39" s="66" t="str">
        <f t="shared" si="1"/>
        <v/>
      </c>
      <c r="J39" s="78"/>
    </row>
    <row r="40" ht="24.0" customHeight="1">
      <c r="A40" s="78"/>
      <c r="B40" s="78"/>
      <c r="C40" s="99"/>
      <c r="D40" s="78"/>
      <c r="E40" s="99"/>
      <c r="F40" s="108"/>
      <c r="G40" s="99"/>
      <c r="H40" s="110" t="b">
        <v>0</v>
      </c>
      <c r="I40" s="66" t="str">
        <f t="shared" si="1"/>
        <v/>
      </c>
      <c r="J40" s="78"/>
    </row>
    <row r="41" ht="24.0" customHeight="1">
      <c r="A41" s="78"/>
      <c r="B41" s="78"/>
      <c r="C41" s="99"/>
      <c r="D41" s="78"/>
      <c r="E41" s="99"/>
      <c r="F41" s="108"/>
      <c r="G41" s="99"/>
      <c r="H41" s="110" t="b">
        <v>0</v>
      </c>
      <c r="I41" s="66" t="str">
        <f t="shared" si="1"/>
        <v/>
      </c>
      <c r="J41" s="78"/>
    </row>
    <row r="42" ht="24.0" customHeight="1">
      <c r="A42" s="78"/>
      <c r="B42" s="78"/>
      <c r="C42" s="99"/>
      <c r="D42" s="78"/>
      <c r="E42" s="99"/>
      <c r="F42" s="108"/>
      <c r="G42" s="99"/>
      <c r="H42" s="110" t="b">
        <v>0</v>
      </c>
      <c r="I42" s="66" t="str">
        <f t="shared" si="1"/>
        <v/>
      </c>
      <c r="J42" s="78"/>
    </row>
    <row r="43" ht="24.0" customHeight="1">
      <c r="A43" s="78"/>
      <c r="B43" s="78"/>
      <c r="C43" s="99"/>
      <c r="D43" s="78"/>
      <c r="E43" s="99"/>
      <c r="F43" s="108"/>
      <c r="G43" s="99"/>
      <c r="H43" s="110" t="b">
        <v>0</v>
      </c>
      <c r="I43" s="66" t="str">
        <f t="shared" si="1"/>
        <v/>
      </c>
      <c r="J43" s="78"/>
    </row>
    <row r="44" ht="24.0" customHeight="1">
      <c r="A44" s="78"/>
      <c r="B44" s="78"/>
      <c r="C44" s="99"/>
      <c r="D44" s="78"/>
      <c r="E44" s="99"/>
      <c r="F44" s="108"/>
      <c r="G44" s="99"/>
      <c r="H44" s="110" t="b">
        <v>0</v>
      </c>
      <c r="I44" s="66" t="str">
        <f t="shared" si="1"/>
        <v/>
      </c>
      <c r="J44" s="78"/>
    </row>
    <row r="45" ht="24.0" customHeight="1">
      <c r="A45" s="78"/>
      <c r="B45" s="78"/>
      <c r="C45" s="99"/>
      <c r="D45" s="78"/>
      <c r="E45" s="99"/>
      <c r="F45" s="108"/>
      <c r="G45" s="99"/>
      <c r="H45" s="110" t="b">
        <v>0</v>
      </c>
      <c r="I45" s="66" t="str">
        <f t="shared" si="1"/>
        <v/>
      </c>
      <c r="J45" s="78"/>
    </row>
    <row r="46" ht="24.0" customHeight="1">
      <c r="A46" s="78"/>
      <c r="B46" s="78"/>
      <c r="C46" s="99"/>
      <c r="D46" s="78"/>
      <c r="E46" s="99"/>
      <c r="F46" s="108"/>
      <c r="G46" s="99"/>
      <c r="H46" s="110" t="b">
        <v>0</v>
      </c>
      <c r="I46" s="66" t="str">
        <f t="shared" si="1"/>
        <v/>
      </c>
      <c r="J46" s="78"/>
    </row>
    <row r="47" ht="24.0" customHeight="1">
      <c r="A47" s="78"/>
      <c r="B47" s="78"/>
      <c r="C47" s="99"/>
      <c r="D47" s="78"/>
      <c r="E47" s="99"/>
      <c r="F47" s="108"/>
      <c r="G47" s="99"/>
      <c r="H47" s="110" t="b">
        <v>0</v>
      </c>
      <c r="I47" s="66" t="str">
        <f t="shared" si="1"/>
        <v/>
      </c>
      <c r="J47" s="78"/>
    </row>
    <row r="48" ht="24.0" customHeight="1">
      <c r="A48" s="78"/>
      <c r="B48" s="78"/>
      <c r="C48" s="99"/>
      <c r="D48" s="78"/>
      <c r="E48" s="99"/>
      <c r="F48" s="108"/>
      <c r="G48" s="99"/>
      <c r="H48" s="110" t="b">
        <v>0</v>
      </c>
      <c r="I48" s="66" t="str">
        <f t="shared" si="1"/>
        <v/>
      </c>
      <c r="J48" s="78"/>
    </row>
    <row r="49" ht="24.0" customHeight="1">
      <c r="A49" s="78"/>
      <c r="B49" s="78"/>
      <c r="C49" s="99"/>
      <c r="D49" s="78"/>
      <c r="E49" s="99"/>
      <c r="F49" s="108"/>
      <c r="G49" s="99"/>
      <c r="H49" s="110" t="b">
        <v>0</v>
      </c>
      <c r="I49" s="66" t="str">
        <f t="shared" si="1"/>
        <v/>
      </c>
      <c r="J49" s="78"/>
    </row>
    <row r="50" ht="24.0" customHeight="1">
      <c r="A50" s="78"/>
      <c r="B50" s="78"/>
      <c r="C50" s="99"/>
      <c r="D50" s="78"/>
      <c r="E50" s="99"/>
      <c r="F50" s="108"/>
      <c r="G50" s="99"/>
      <c r="H50" s="110" t="b">
        <v>0</v>
      </c>
      <c r="I50" s="66" t="str">
        <f t="shared" si="1"/>
        <v/>
      </c>
      <c r="J50" s="78"/>
    </row>
    <row r="51" ht="24.0" customHeight="1">
      <c r="A51" s="78"/>
      <c r="B51" s="78"/>
      <c r="C51" s="99"/>
      <c r="D51" s="78"/>
      <c r="E51" s="99"/>
      <c r="F51" s="108"/>
      <c r="G51" s="99"/>
      <c r="H51" s="110" t="b">
        <v>0</v>
      </c>
      <c r="I51" s="66" t="str">
        <f t="shared" si="1"/>
        <v/>
      </c>
      <c r="J51" s="78"/>
    </row>
    <row r="52" ht="24.0" customHeight="1">
      <c r="A52" s="78"/>
      <c r="B52" s="78"/>
      <c r="C52" s="99"/>
      <c r="D52" s="78"/>
      <c r="E52" s="99"/>
      <c r="F52" s="108"/>
      <c r="G52" s="99"/>
      <c r="H52" s="110" t="b">
        <v>0</v>
      </c>
      <c r="I52" s="66" t="str">
        <f t="shared" si="1"/>
        <v/>
      </c>
      <c r="J52" s="78"/>
    </row>
    <row r="53" ht="24.0" customHeight="1">
      <c r="A53" s="78"/>
      <c r="B53" s="78"/>
      <c r="C53" s="99"/>
      <c r="D53" s="78"/>
      <c r="E53" s="99"/>
      <c r="F53" s="108"/>
      <c r="G53" s="99"/>
      <c r="H53" s="110" t="b">
        <v>0</v>
      </c>
      <c r="I53" s="66" t="str">
        <f t="shared" si="1"/>
        <v/>
      </c>
      <c r="J53" s="78"/>
    </row>
    <row r="54" ht="24.0" customHeight="1">
      <c r="A54" s="78"/>
      <c r="B54" s="78"/>
      <c r="C54" s="99"/>
      <c r="D54" s="78"/>
      <c r="E54" s="99"/>
      <c r="F54" s="108"/>
      <c r="G54" s="99"/>
      <c r="H54" s="110" t="b">
        <v>0</v>
      </c>
      <c r="I54" s="66" t="str">
        <f t="shared" si="1"/>
        <v/>
      </c>
      <c r="J54" s="78"/>
    </row>
    <row r="55" ht="24.0" customHeight="1">
      <c r="A55" s="78"/>
      <c r="B55" s="78"/>
      <c r="C55" s="99"/>
      <c r="D55" s="78"/>
      <c r="E55" s="99"/>
      <c r="F55" s="108"/>
      <c r="G55" s="99"/>
      <c r="H55" s="110" t="b">
        <v>0</v>
      </c>
      <c r="I55" s="66" t="str">
        <f t="shared" si="1"/>
        <v/>
      </c>
      <c r="J55" s="78"/>
    </row>
    <row r="56" ht="24.0" customHeight="1">
      <c r="A56" s="78"/>
      <c r="B56" s="78"/>
      <c r="C56" s="99"/>
      <c r="D56" s="78"/>
      <c r="E56" s="99"/>
      <c r="F56" s="108"/>
      <c r="G56" s="99"/>
      <c r="H56" s="110" t="b">
        <v>0</v>
      </c>
      <c r="I56" s="66" t="str">
        <f t="shared" si="1"/>
        <v/>
      </c>
      <c r="J56" s="78"/>
    </row>
    <row r="57" ht="24.0" customHeight="1">
      <c r="A57" s="78"/>
      <c r="B57" s="78"/>
      <c r="C57" s="99"/>
      <c r="D57" s="78"/>
      <c r="E57" s="99"/>
      <c r="F57" s="108"/>
      <c r="G57" s="99"/>
      <c r="H57" s="110" t="b">
        <v>0</v>
      </c>
      <c r="I57" s="66" t="str">
        <f t="shared" si="1"/>
        <v/>
      </c>
      <c r="J57" s="78"/>
    </row>
    <row r="58" ht="24.0" customHeight="1">
      <c r="A58" s="78"/>
      <c r="B58" s="78"/>
      <c r="C58" s="99"/>
      <c r="D58" s="78"/>
      <c r="E58" s="99"/>
      <c r="F58" s="108"/>
      <c r="G58" s="99"/>
      <c r="H58" s="110" t="b">
        <v>0</v>
      </c>
      <c r="I58" s="66" t="str">
        <f t="shared" si="1"/>
        <v/>
      </c>
      <c r="J58" s="78"/>
    </row>
    <row r="59" ht="24.0" customHeight="1">
      <c r="A59" s="78"/>
      <c r="B59" s="78"/>
      <c r="C59" s="99"/>
      <c r="D59" s="78"/>
      <c r="E59" s="99"/>
      <c r="F59" s="108"/>
      <c r="G59" s="99"/>
      <c r="H59" s="110" t="b">
        <v>0</v>
      </c>
      <c r="I59" s="66" t="str">
        <f t="shared" si="1"/>
        <v/>
      </c>
      <c r="J59" s="78"/>
    </row>
    <row r="60" ht="24.0" customHeight="1">
      <c r="A60" s="78"/>
      <c r="B60" s="78"/>
      <c r="C60" s="99"/>
      <c r="D60" s="78"/>
      <c r="E60" s="99"/>
      <c r="F60" s="108"/>
      <c r="G60" s="99"/>
      <c r="H60" s="110" t="b">
        <v>0</v>
      </c>
      <c r="I60" s="66" t="str">
        <f t="shared" si="1"/>
        <v/>
      </c>
      <c r="J60" s="78"/>
    </row>
    <row r="61" ht="24.0" customHeight="1">
      <c r="A61" s="78"/>
      <c r="B61" s="78"/>
      <c r="C61" s="99"/>
      <c r="D61" s="78"/>
      <c r="E61" s="99"/>
      <c r="F61" s="108"/>
      <c r="G61" s="99"/>
      <c r="H61" s="110" t="b">
        <v>0</v>
      </c>
      <c r="I61" s="66" t="str">
        <f t="shared" si="1"/>
        <v/>
      </c>
      <c r="J61" s="78"/>
    </row>
    <row r="62" ht="24.0" customHeight="1">
      <c r="A62" s="78"/>
      <c r="B62" s="78"/>
      <c r="C62" s="99"/>
      <c r="D62" s="78"/>
      <c r="E62" s="99"/>
      <c r="F62" s="108"/>
      <c r="G62" s="99"/>
      <c r="H62" s="110" t="b">
        <v>0</v>
      </c>
      <c r="I62" s="66" t="str">
        <f t="shared" si="1"/>
        <v/>
      </c>
      <c r="J62" s="78"/>
    </row>
    <row r="63" ht="24.0" customHeight="1">
      <c r="A63" s="78"/>
      <c r="B63" s="78"/>
      <c r="C63" s="99"/>
      <c r="D63" s="78"/>
      <c r="E63" s="99"/>
      <c r="F63" s="108"/>
      <c r="G63" s="99"/>
      <c r="H63" s="110" t="b">
        <v>0</v>
      </c>
      <c r="I63" s="66" t="str">
        <f t="shared" si="1"/>
        <v/>
      </c>
      <c r="J63" s="78"/>
    </row>
    <row r="64" ht="24.0" customHeight="1">
      <c r="A64" s="78"/>
      <c r="B64" s="78"/>
      <c r="C64" s="99"/>
      <c r="D64" s="78"/>
      <c r="E64" s="99"/>
      <c r="F64" s="108"/>
      <c r="G64" s="99"/>
      <c r="H64" s="110" t="b">
        <v>0</v>
      </c>
      <c r="I64" s="66" t="str">
        <f t="shared" si="1"/>
        <v/>
      </c>
      <c r="J64" s="78"/>
    </row>
    <row r="65" ht="24.0" customHeight="1">
      <c r="A65" s="78"/>
      <c r="B65" s="78"/>
      <c r="C65" s="99"/>
      <c r="D65" s="78"/>
      <c r="E65" s="99"/>
      <c r="F65" s="108"/>
      <c r="G65" s="99"/>
      <c r="H65" s="110" t="b">
        <v>0</v>
      </c>
      <c r="I65" s="66" t="str">
        <f t="shared" si="1"/>
        <v/>
      </c>
      <c r="J65" s="78"/>
    </row>
    <row r="66" ht="24.0" customHeight="1">
      <c r="A66" s="78"/>
      <c r="B66" s="78"/>
      <c r="C66" s="99"/>
      <c r="D66" s="78"/>
      <c r="E66" s="99"/>
      <c r="F66" s="108"/>
      <c r="G66" s="99"/>
      <c r="H66" s="110" t="b">
        <v>0</v>
      </c>
      <c r="I66" s="66" t="str">
        <f t="shared" si="1"/>
        <v/>
      </c>
      <c r="J66" s="78"/>
    </row>
    <row r="67" ht="24.0" customHeight="1">
      <c r="A67" s="78"/>
      <c r="B67" s="78"/>
      <c r="C67" s="99"/>
      <c r="D67" s="78"/>
      <c r="E67" s="99"/>
      <c r="F67" s="108"/>
      <c r="G67" s="99"/>
      <c r="H67" s="110" t="b">
        <v>0</v>
      </c>
      <c r="I67" s="66" t="str">
        <f t="shared" si="1"/>
        <v/>
      </c>
      <c r="J67" s="78"/>
    </row>
    <row r="68" ht="24.0" customHeight="1">
      <c r="A68" s="78"/>
      <c r="B68" s="78"/>
      <c r="C68" s="99"/>
      <c r="D68" s="78"/>
      <c r="E68" s="99"/>
      <c r="F68" s="108"/>
      <c r="G68" s="99"/>
      <c r="H68" s="110" t="b">
        <v>0</v>
      </c>
      <c r="I68" s="66" t="str">
        <f t="shared" si="1"/>
        <v/>
      </c>
      <c r="J68" s="78"/>
    </row>
    <row r="69" ht="24.0" customHeight="1">
      <c r="A69" s="78"/>
      <c r="B69" s="78"/>
      <c r="C69" s="99"/>
      <c r="D69" s="78"/>
      <c r="E69" s="99"/>
      <c r="F69" s="108"/>
      <c r="G69" s="99"/>
      <c r="H69" s="110" t="b">
        <v>0</v>
      </c>
      <c r="I69" s="66" t="str">
        <f t="shared" si="1"/>
        <v/>
      </c>
      <c r="J69" s="78"/>
    </row>
    <row r="70" ht="24.0" customHeight="1">
      <c r="A70" s="78"/>
      <c r="B70" s="78"/>
      <c r="C70" s="99"/>
      <c r="D70" s="78"/>
      <c r="E70" s="99"/>
      <c r="F70" s="108"/>
      <c r="G70" s="99"/>
      <c r="H70" s="110" t="b">
        <v>0</v>
      </c>
      <c r="I70" s="66" t="str">
        <f t="shared" si="1"/>
        <v/>
      </c>
      <c r="J70" s="78"/>
    </row>
    <row r="71" ht="24.0" customHeight="1">
      <c r="A71" s="78"/>
      <c r="B71" s="78"/>
      <c r="C71" s="99"/>
      <c r="D71" s="78"/>
      <c r="E71" s="99"/>
      <c r="F71" s="108"/>
      <c r="G71" s="99"/>
      <c r="H71" s="110" t="b">
        <v>0</v>
      </c>
      <c r="I71" s="66" t="str">
        <f t="shared" si="1"/>
        <v/>
      </c>
      <c r="J71" s="78"/>
    </row>
    <row r="72" ht="24.0" customHeight="1">
      <c r="A72" s="78"/>
      <c r="B72" s="78"/>
      <c r="C72" s="99"/>
      <c r="D72" s="78"/>
      <c r="E72" s="99"/>
      <c r="F72" s="108"/>
      <c r="G72" s="99"/>
      <c r="H72" s="110" t="b">
        <v>0</v>
      </c>
      <c r="I72" s="66" t="str">
        <f t="shared" si="1"/>
        <v/>
      </c>
      <c r="J72" s="78"/>
    </row>
    <row r="73" ht="24.0" customHeight="1">
      <c r="A73" s="78"/>
      <c r="B73" s="78"/>
      <c r="C73" s="99"/>
      <c r="D73" s="78"/>
      <c r="E73" s="99"/>
      <c r="F73" s="108"/>
      <c r="G73" s="99"/>
      <c r="H73" s="110" t="b">
        <v>0</v>
      </c>
      <c r="I73" s="66" t="str">
        <f t="shared" si="1"/>
        <v/>
      </c>
      <c r="J73" s="78"/>
    </row>
    <row r="74" ht="24.0" customHeight="1">
      <c r="A74" s="78"/>
      <c r="B74" s="78"/>
      <c r="C74" s="99"/>
      <c r="D74" s="78"/>
      <c r="E74" s="99"/>
      <c r="F74" s="108"/>
      <c r="G74" s="99"/>
      <c r="H74" s="110" t="b">
        <v>0</v>
      </c>
      <c r="I74" s="66" t="str">
        <f t="shared" si="1"/>
        <v/>
      </c>
      <c r="J74" s="78"/>
    </row>
    <row r="75" ht="24.0" customHeight="1">
      <c r="A75" s="78"/>
      <c r="B75" s="78"/>
      <c r="C75" s="99"/>
      <c r="D75" s="78"/>
      <c r="E75" s="99"/>
      <c r="F75" s="108"/>
      <c r="G75" s="99"/>
      <c r="H75" s="110" t="b">
        <v>0</v>
      </c>
      <c r="I75" s="66" t="str">
        <f t="shared" si="1"/>
        <v/>
      </c>
      <c r="J75" s="78"/>
    </row>
    <row r="76" ht="24.0" customHeight="1">
      <c r="A76" s="78"/>
      <c r="B76" s="78"/>
      <c r="C76" s="99"/>
      <c r="D76" s="78"/>
      <c r="E76" s="99"/>
      <c r="F76" s="108"/>
      <c r="G76" s="99"/>
      <c r="H76" s="110" t="b">
        <v>0</v>
      </c>
      <c r="I76" s="66" t="str">
        <f t="shared" si="1"/>
        <v/>
      </c>
      <c r="J76" s="78"/>
    </row>
    <row r="77" ht="24.0" customHeight="1">
      <c r="A77" s="78"/>
      <c r="B77" s="78"/>
      <c r="C77" s="99"/>
      <c r="D77" s="78"/>
      <c r="E77" s="99"/>
      <c r="F77" s="108"/>
      <c r="G77" s="99"/>
      <c r="H77" s="110" t="b">
        <v>0</v>
      </c>
      <c r="I77" s="66" t="str">
        <f t="shared" si="1"/>
        <v/>
      </c>
      <c r="J77" s="78"/>
    </row>
    <row r="78" ht="24.0" customHeight="1">
      <c r="A78" s="78"/>
      <c r="B78" s="78"/>
      <c r="C78" s="99"/>
      <c r="D78" s="78"/>
      <c r="E78" s="99"/>
      <c r="F78" s="108"/>
      <c r="G78" s="99"/>
      <c r="H78" s="110" t="b">
        <v>0</v>
      </c>
      <c r="I78" s="66" t="str">
        <f t="shared" si="1"/>
        <v/>
      </c>
      <c r="J78" s="78"/>
    </row>
    <row r="79" ht="24.0" customHeight="1">
      <c r="A79" s="78"/>
      <c r="B79" s="78"/>
      <c r="C79" s="99"/>
      <c r="D79" s="78"/>
      <c r="E79" s="99"/>
      <c r="F79" s="108"/>
      <c r="G79" s="99"/>
      <c r="H79" s="110" t="b">
        <v>0</v>
      </c>
      <c r="I79" s="66" t="str">
        <f t="shared" si="1"/>
        <v/>
      </c>
      <c r="J79" s="78"/>
    </row>
    <row r="80" ht="24.0" customHeight="1">
      <c r="A80" s="78"/>
      <c r="B80" s="78"/>
      <c r="C80" s="99"/>
      <c r="D80" s="78"/>
      <c r="E80" s="99"/>
      <c r="F80" s="108"/>
      <c r="G80" s="99"/>
      <c r="H80" s="110" t="b">
        <v>0</v>
      </c>
      <c r="I80" s="66" t="str">
        <f t="shared" si="1"/>
        <v/>
      </c>
      <c r="J80" s="78"/>
    </row>
    <row r="81" ht="24.0" customHeight="1">
      <c r="A81" s="78"/>
      <c r="B81" s="78"/>
      <c r="C81" s="99"/>
      <c r="D81" s="78"/>
      <c r="E81" s="99"/>
      <c r="F81" s="108"/>
      <c r="G81" s="99"/>
      <c r="H81" s="110" t="b">
        <v>0</v>
      </c>
      <c r="I81" s="66" t="str">
        <f t="shared" si="1"/>
        <v/>
      </c>
      <c r="J81" s="78"/>
    </row>
    <row r="82" ht="24.0" customHeight="1">
      <c r="A82" s="78"/>
      <c r="B82" s="78"/>
      <c r="C82" s="99"/>
      <c r="D82" s="78"/>
      <c r="E82" s="99"/>
      <c r="F82" s="108"/>
      <c r="G82" s="99"/>
      <c r="H82" s="110" t="b">
        <v>0</v>
      </c>
      <c r="I82" s="66" t="str">
        <f t="shared" si="1"/>
        <v/>
      </c>
      <c r="J82" s="78"/>
    </row>
    <row r="83" ht="24.0" customHeight="1">
      <c r="A83" s="78"/>
      <c r="B83" s="78"/>
      <c r="C83" s="99"/>
      <c r="D83" s="78"/>
      <c r="E83" s="99"/>
      <c r="F83" s="108"/>
      <c r="G83" s="99"/>
      <c r="H83" s="110" t="b">
        <v>0</v>
      </c>
      <c r="I83" s="66" t="str">
        <f t="shared" si="1"/>
        <v/>
      </c>
      <c r="J83" s="78"/>
    </row>
    <row r="84" ht="24.0" customHeight="1">
      <c r="A84" s="78"/>
      <c r="B84" s="78"/>
      <c r="C84" s="99"/>
      <c r="D84" s="78"/>
      <c r="E84" s="99"/>
      <c r="F84" s="108"/>
      <c r="G84" s="99"/>
      <c r="H84" s="110" t="b">
        <v>0</v>
      </c>
      <c r="I84" s="66" t="str">
        <f t="shared" si="1"/>
        <v/>
      </c>
      <c r="J84" s="78"/>
    </row>
    <row r="85" ht="24.0" customHeight="1">
      <c r="A85" s="78"/>
      <c r="B85" s="78"/>
      <c r="C85" s="99"/>
      <c r="D85" s="78"/>
      <c r="E85" s="99"/>
      <c r="F85" s="108"/>
      <c r="G85" s="99"/>
      <c r="H85" s="110" t="b">
        <v>0</v>
      </c>
      <c r="I85" s="66" t="str">
        <f t="shared" si="1"/>
        <v/>
      </c>
      <c r="J85" s="78"/>
    </row>
    <row r="86" ht="24.0" customHeight="1">
      <c r="A86" s="78"/>
      <c r="B86" s="78"/>
      <c r="C86" s="99"/>
      <c r="D86" s="78"/>
      <c r="E86" s="99"/>
      <c r="F86" s="108"/>
      <c r="G86" s="99"/>
      <c r="H86" s="110" t="b">
        <v>0</v>
      </c>
      <c r="I86" s="66" t="str">
        <f t="shared" si="1"/>
        <v/>
      </c>
      <c r="J86" s="78"/>
    </row>
    <row r="87" ht="24.0" customHeight="1">
      <c r="A87" s="78"/>
      <c r="B87" s="78"/>
      <c r="C87" s="99"/>
      <c r="D87" s="78"/>
      <c r="E87" s="99"/>
      <c r="F87" s="108"/>
      <c r="G87" s="99"/>
      <c r="H87" s="110" t="b">
        <v>0</v>
      </c>
      <c r="I87" s="66" t="str">
        <f t="shared" si="1"/>
        <v/>
      </c>
      <c r="J87" s="78"/>
    </row>
    <row r="88" ht="24.0" customHeight="1">
      <c r="A88" s="78"/>
      <c r="B88" s="78"/>
      <c r="C88" s="99"/>
      <c r="D88" s="78"/>
      <c r="E88" s="99"/>
      <c r="F88" s="108"/>
      <c r="G88" s="99"/>
      <c r="H88" s="110" t="b">
        <v>0</v>
      </c>
      <c r="I88" s="66" t="str">
        <f t="shared" si="1"/>
        <v/>
      </c>
      <c r="J88" s="78"/>
    </row>
    <row r="89" ht="24.0" customHeight="1">
      <c r="A89" s="78"/>
      <c r="B89" s="78"/>
      <c r="C89" s="99"/>
      <c r="D89" s="78"/>
      <c r="E89" s="99"/>
      <c r="F89" s="108"/>
      <c r="G89" s="99"/>
      <c r="H89" s="110" t="b">
        <v>0</v>
      </c>
      <c r="I89" s="66" t="str">
        <f t="shared" si="1"/>
        <v/>
      </c>
      <c r="J89" s="78"/>
    </row>
    <row r="90" ht="24.0" customHeight="1">
      <c r="A90" s="78"/>
      <c r="B90" s="78"/>
      <c r="C90" s="99"/>
      <c r="D90" s="78"/>
      <c r="E90" s="99"/>
      <c r="F90" s="108"/>
      <c r="G90" s="99"/>
      <c r="H90" s="110" t="b">
        <v>0</v>
      </c>
      <c r="I90" s="66" t="str">
        <f t="shared" si="1"/>
        <v/>
      </c>
      <c r="J90" s="78"/>
    </row>
    <row r="91" ht="24.0" customHeight="1">
      <c r="A91" s="78"/>
      <c r="B91" s="78"/>
      <c r="C91" s="99"/>
      <c r="D91" s="78"/>
      <c r="E91" s="99"/>
      <c r="F91" s="108"/>
      <c r="G91" s="99"/>
      <c r="H91" s="110" t="b">
        <v>0</v>
      </c>
      <c r="I91" s="66" t="str">
        <f t="shared" si="1"/>
        <v/>
      </c>
      <c r="J91" s="78"/>
    </row>
    <row r="92" ht="24.0" customHeight="1">
      <c r="A92" s="78"/>
      <c r="B92" s="78"/>
      <c r="C92" s="99"/>
      <c r="D92" s="78"/>
      <c r="E92" s="99"/>
      <c r="F92" s="108"/>
      <c r="G92" s="99"/>
      <c r="H92" s="110" t="b">
        <v>0</v>
      </c>
      <c r="I92" s="66" t="str">
        <f t="shared" si="1"/>
        <v/>
      </c>
      <c r="J92" s="78"/>
    </row>
    <row r="93" ht="24.0" customHeight="1">
      <c r="A93" s="78"/>
      <c r="B93" s="78"/>
      <c r="C93" s="99"/>
      <c r="D93" s="78"/>
      <c r="E93" s="99"/>
      <c r="F93" s="108"/>
      <c r="G93" s="99"/>
      <c r="H93" s="110" t="b">
        <v>0</v>
      </c>
      <c r="I93" s="66" t="str">
        <f t="shared" si="1"/>
        <v/>
      </c>
      <c r="J93" s="78"/>
    </row>
    <row r="94" ht="24.0" customHeight="1">
      <c r="A94" s="78"/>
      <c r="B94" s="78"/>
      <c r="C94" s="99"/>
      <c r="D94" s="78"/>
      <c r="E94" s="99"/>
      <c r="F94" s="108"/>
      <c r="G94" s="99"/>
      <c r="H94" s="110" t="b">
        <v>0</v>
      </c>
      <c r="I94" s="66" t="str">
        <f t="shared" si="1"/>
        <v/>
      </c>
      <c r="J94" s="78"/>
    </row>
    <row r="95" ht="24.0" customHeight="1">
      <c r="A95" s="78"/>
      <c r="B95" s="78"/>
      <c r="C95" s="99"/>
      <c r="D95" s="78"/>
      <c r="E95" s="99"/>
      <c r="F95" s="108"/>
      <c r="G95" s="99"/>
      <c r="H95" s="110" t="b">
        <v>0</v>
      </c>
      <c r="I95" s="66" t="str">
        <f t="shared" si="1"/>
        <v/>
      </c>
      <c r="J95" s="78"/>
    </row>
    <row r="96" ht="24.0" customHeight="1">
      <c r="A96" s="78"/>
      <c r="B96" s="78"/>
      <c r="C96" s="99"/>
      <c r="D96" s="78"/>
      <c r="E96" s="99"/>
      <c r="F96" s="108"/>
      <c r="G96" s="99"/>
      <c r="H96" s="110" t="b">
        <v>0</v>
      </c>
      <c r="I96" s="66" t="str">
        <f t="shared" si="1"/>
        <v/>
      </c>
      <c r="J96" s="78"/>
    </row>
    <row r="97" ht="24.0" customHeight="1">
      <c r="A97" s="78"/>
      <c r="B97" s="78"/>
      <c r="C97" s="99"/>
      <c r="D97" s="78"/>
      <c r="E97" s="99"/>
      <c r="F97" s="108"/>
      <c r="G97" s="99"/>
      <c r="H97" s="110" t="b">
        <v>0</v>
      </c>
      <c r="I97" s="66" t="str">
        <f t="shared" si="1"/>
        <v/>
      </c>
      <c r="J97" s="78"/>
    </row>
    <row r="98" ht="24.0" customHeight="1">
      <c r="A98" s="78"/>
      <c r="B98" s="78"/>
      <c r="C98" s="99"/>
      <c r="D98" s="78"/>
      <c r="E98" s="99"/>
      <c r="F98" s="108"/>
      <c r="G98" s="99"/>
      <c r="H98" s="110" t="b">
        <v>0</v>
      </c>
      <c r="I98" s="66" t="str">
        <f t="shared" si="1"/>
        <v/>
      </c>
      <c r="J98" s="78"/>
    </row>
    <row r="99" ht="24.0" customHeight="1">
      <c r="A99" s="78"/>
      <c r="B99" s="78"/>
      <c r="C99" s="99"/>
      <c r="D99" s="78"/>
      <c r="E99" s="99"/>
      <c r="F99" s="108"/>
      <c r="G99" s="99"/>
      <c r="H99" s="110" t="b">
        <v>0</v>
      </c>
      <c r="I99" s="66" t="str">
        <f t="shared" si="1"/>
        <v/>
      </c>
      <c r="J99" s="78"/>
    </row>
    <row r="100" ht="24.0" customHeight="1">
      <c r="A100" s="78"/>
      <c r="B100" s="78"/>
      <c r="C100" s="99"/>
      <c r="D100" s="78"/>
      <c r="E100" s="99"/>
      <c r="F100" s="108"/>
      <c r="G100" s="99"/>
      <c r="H100" s="110" t="b">
        <v>0</v>
      </c>
      <c r="I100" s="66" t="str">
        <f t="shared" si="1"/>
        <v/>
      </c>
      <c r="J100" s="78"/>
    </row>
    <row r="101" ht="24.0" customHeight="1">
      <c r="A101" s="78"/>
      <c r="B101" s="78"/>
      <c r="C101" s="99"/>
      <c r="D101" s="78"/>
      <c r="E101" s="99"/>
      <c r="F101" s="108"/>
      <c r="G101" s="99"/>
      <c r="H101" s="110" t="b">
        <v>0</v>
      </c>
      <c r="I101" s="66" t="str">
        <f t="shared" si="1"/>
        <v/>
      </c>
      <c r="J101" s="78"/>
    </row>
    <row r="102" ht="24.0" customHeight="1">
      <c r="A102" s="78"/>
      <c r="B102" s="78"/>
      <c r="C102" s="99"/>
      <c r="D102" s="78"/>
      <c r="E102" s="99"/>
      <c r="F102" s="108"/>
      <c r="G102" s="99"/>
      <c r="H102" s="110" t="b">
        <v>0</v>
      </c>
      <c r="I102" s="66" t="str">
        <f t="shared" si="1"/>
        <v/>
      </c>
      <c r="J102" s="78"/>
    </row>
    <row r="103" ht="24.0" customHeight="1">
      <c r="A103" s="78"/>
      <c r="B103" s="78"/>
      <c r="C103" s="99"/>
      <c r="D103" s="78"/>
      <c r="E103" s="99"/>
      <c r="F103" s="108"/>
      <c r="G103" s="99"/>
      <c r="H103" s="110" t="b">
        <v>0</v>
      </c>
      <c r="I103" s="66" t="str">
        <f t="shared" si="1"/>
        <v/>
      </c>
      <c r="J103" s="78"/>
    </row>
    <row r="104" ht="24.0" customHeight="1">
      <c r="A104" s="78"/>
      <c r="B104" s="78"/>
      <c r="C104" s="99"/>
      <c r="D104" s="78"/>
      <c r="E104" s="99"/>
      <c r="F104" s="108"/>
      <c r="G104" s="99"/>
      <c r="H104" s="110" t="b">
        <v>0</v>
      </c>
      <c r="I104" s="66" t="str">
        <f t="shared" si="1"/>
        <v/>
      </c>
      <c r="J104" s="78"/>
    </row>
    <row r="105" ht="24.0" customHeight="1">
      <c r="A105" s="78"/>
      <c r="B105" s="78"/>
      <c r="C105" s="99"/>
      <c r="D105" s="78"/>
      <c r="E105" s="99"/>
      <c r="F105" s="108"/>
      <c r="G105" s="99"/>
      <c r="H105" s="110" t="b">
        <v>0</v>
      </c>
      <c r="I105" s="66" t="str">
        <f t="shared" si="1"/>
        <v/>
      </c>
      <c r="J105" s="78"/>
    </row>
    <row r="106" ht="24.0" customHeight="1">
      <c r="A106" s="78"/>
      <c r="B106" s="78"/>
      <c r="C106" s="99"/>
      <c r="D106" s="78"/>
      <c r="E106" s="99"/>
      <c r="F106" s="108"/>
      <c r="G106" s="99"/>
      <c r="H106" s="110" t="b">
        <v>0</v>
      </c>
      <c r="I106" s="66" t="str">
        <f t="shared" si="1"/>
        <v/>
      </c>
      <c r="J106" s="78"/>
    </row>
    <row r="107" ht="24.0" customHeight="1">
      <c r="A107" s="78"/>
      <c r="B107" s="78"/>
      <c r="C107" s="99"/>
      <c r="D107" s="78"/>
      <c r="E107" s="99"/>
      <c r="F107" s="108"/>
      <c r="G107" s="99"/>
      <c r="H107" s="110" t="b">
        <v>0</v>
      </c>
      <c r="I107" s="66" t="str">
        <f t="shared" si="1"/>
        <v/>
      </c>
      <c r="J107" s="78"/>
    </row>
    <row r="108" ht="24.0" customHeight="1">
      <c r="A108" s="78"/>
      <c r="B108" s="78"/>
      <c r="C108" s="99"/>
      <c r="D108" s="78"/>
      <c r="E108" s="99"/>
      <c r="F108" s="108"/>
      <c r="G108" s="99"/>
      <c r="H108" s="110" t="b">
        <v>0</v>
      </c>
      <c r="I108" s="66" t="str">
        <f t="shared" si="1"/>
        <v/>
      </c>
      <c r="J108" s="78"/>
    </row>
    <row r="109" ht="24.0" customHeight="1">
      <c r="A109" s="78"/>
      <c r="B109" s="78"/>
      <c r="C109" s="99"/>
      <c r="D109" s="78"/>
      <c r="E109" s="99"/>
      <c r="F109" s="108"/>
      <c r="G109" s="99"/>
      <c r="H109" s="110" t="b">
        <v>0</v>
      </c>
      <c r="I109" s="66" t="str">
        <f t="shared" si="1"/>
        <v/>
      </c>
      <c r="J109" s="78"/>
    </row>
    <row r="110" ht="24.0" customHeight="1">
      <c r="A110" s="78"/>
      <c r="B110" s="78"/>
      <c r="C110" s="99"/>
      <c r="D110" s="78"/>
      <c r="E110" s="99"/>
      <c r="F110" s="108"/>
      <c r="G110" s="99"/>
      <c r="H110" s="110" t="b">
        <v>0</v>
      </c>
      <c r="I110" s="66" t="str">
        <f t="shared" si="1"/>
        <v/>
      </c>
      <c r="J110" s="78"/>
    </row>
    <row r="111" ht="24.0" customHeight="1">
      <c r="A111" s="78"/>
      <c r="B111" s="78"/>
      <c r="C111" s="99"/>
      <c r="D111" s="78"/>
      <c r="E111" s="99"/>
      <c r="F111" s="108"/>
      <c r="G111" s="99"/>
      <c r="H111" s="110" t="b">
        <v>0</v>
      </c>
      <c r="I111" s="66" t="str">
        <f t="shared" si="1"/>
        <v/>
      </c>
      <c r="J111" s="78"/>
    </row>
    <row r="112" ht="24.0" customHeight="1">
      <c r="A112" s="78"/>
      <c r="B112" s="78"/>
      <c r="C112" s="99"/>
      <c r="D112" s="78"/>
      <c r="E112" s="99"/>
      <c r="F112" s="108"/>
      <c r="G112" s="99"/>
      <c r="H112" s="110" t="b">
        <v>0</v>
      </c>
      <c r="I112" s="66" t="str">
        <f t="shared" si="1"/>
        <v/>
      </c>
      <c r="J112" s="78"/>
    </row>
    <row r="113" ht="24.0" customHeight="1">
      <c r="A113" s="78"/>
      <c r="B113" s="78"/>
      <c r="C113" s="99"/>
      <c r="D113" s="78"/>
      <c r="E113" s="99"/>
      <c r="F113" s="108"/>
      <c r="G113" s="99"/>
      <c r="H113" s="110" t="b">
        <v>0</v>
      </c>
      <c r="I113" s="66" t="str">
        <f t="shared" si="1"/>
        <v/>
      </c>
      <c r="J113" s="78"/>
    </row>
    <row r="114" ht="24.0" customHeight="1">
      <c r="A114" s="78"/>
      <c r="B114" s="78"/>
      <c r="C114" s="99"/>
      <c r="D114" s="78"/>
      <c r="E114" s="99"/>
      <c r="F114" s="108"/>
      <c r="G114" s="99"/>
      <c r="H114" s="110" t="b">
        <v>0</v>
      </c>
      <c r="I114" s="66" t="str">
        <f t="shared" si="1"/>
        <v/>
      </c>
      <c r="J114" s="78"/>
    </row>
    <row r="115" ht="24.0" customHeight="1">
      <c r="A115" s="78"/>
      <c r="B115" s="78"/>
      <c r="C115" s="99"/>
      <c r="D115" s="78"/>
      <c r="E115" s="99"/>
      <c r="F115" s="108"/>
      <c r="G115" s="99"/>
      <c r="H115" s="110" t="b">
        <v>0</v>
      </c>
      <c r="I115" s="66" t="str">
        <f t="shared" si="1"/>
        <v/>
      </c>
      <c r="J115" s="78"/>
    </row>
    <row r="116" ht="24.0" customHeight="1">
      <c r="A116" s="78"/>
      <c r="B116" s="78"/>
      <c r="C116" s="99"/>
      <c r="D116" s="78"/>
      <c r="E116" s="99"/>
      <c r="F116" s="108"/>
      <c r="G116" s="99"/>
      <c r="H116" s="110" t="b">
        <v>0</v>
      </c>
      <c r="I116" s="66" t="str">
        <f t="shared" si="1"/>
        <v/>
      </c>
      <c r="J116" s="78"/>
    </row>
    <row r="117" ht="24.0" customHeight="1">
      <c r="A117" s="78"/>
      <c r="B117" s="78"/>
      <c r="C117" s="99"/>
      <c r="D117" s="78"/>
      <c r="E117" s="99"/>
      <c r="F117" s="108"/>
      <c r="G117" s="99"/>
      <c r="H117" s="110" t="b">
        <v>0</v>
      </c>
      <c r="I117" s="66" t="str">
        <f t="shared" si="1"/>
        <v/>
      </c>
      <c r="J117" s="78"/>
    </row>
    <row r="118" ht="24.0" customHeight="1">
      <c r="A118" s="78"/>
      <c r="B118" s="78"/>
      <c r="C118" s="99"/>
      <c r="D118" s="78"/>
      <c r="E118" s="99"/>
      <c r="F118" s="108"/>
      <c r="G118" s="99"/>
      <c r="H118" s="110" t="b">
        <v>0</v>
      </c>
      <c r="I118" s="66" t="str">
        <f t="shared" si="1"/>
        <v/>
      </c>
      <c r="J118" s="78"/>
    </row>
    <row r="119" ht="24.0" customHeight="1">
      <c r="A119" s="78"/>
      <c r="B119" s="78"/>
      <c r="C119" s="99"/>
      <c r="D119" s="78"/>
      <c r="E119" s="99"/>
      <c r="F119" s="108"/>
      <c r="G119" s="99"/>
      <c r="H119" s="110" t="b">
        <v>0</v>
      </c>
      <c r="I119" s="66" t="str">
        <f t="shared" si="1"/>
        <v/>
      </c>
      <c r="J119" s="78"/>
    </row>
    <row r="120" ht="24.0" customHeight="1">
      <c r="A120" s="78"/>
      <c r="B120" s="78"/>
      <c r="C120" s="99"/>
      <c r="D120" s="78"/>
      <c r="E120" s="99"/>
      <c r="F120" s="108"/>
      <c r="G120" s="99"/>
      <c r="H120" s="110" t="b">
        <v>0</v>
      </c>
      <c r="I120" s="66" t="str">
        <f t="shared" si="1"/>
        <v/>
      </c>
      <c r="J120" s="78"/>
    </row>
    <row r="121" ht="24.0" customHeight="1">
      <c r="A121" s="78"/>
      <c r="B121" s="78"/>
      <c r="C121" s="99"/>
      <c r="D121" s="78"/>
      <c r="E121" s="99"/>
      <c r="F121" s="108"/>
      <c r="G121" s="99"/>
      <c r="H121" s="110" t="b">
        <v>0</v>
      </c>
      <c r="I121" s="66" t="str">
        <f t="shared" si="1"/>
        <v/>
      </c>
      <c r="J121" s="78"/>
    </row>
    <row r="122" ht="24.0" customHeight="1">
      <c r="A122" s="78"/>
      <c r="B122" s="78"/>
      <c r="C122" s="99"/>
      <c r="D122" s="78"/>
      <c r="E122" s="99"/>
      <c r="F122" s="108"/>
      <c r="G122" s="99"/>
      <c r="H122" s="110" t="b">
        <v>0</v>
      </c>
      <c r="I122" s="66" t="str">
        <f t="shared" si="1"/>
        <v/>
      </c>
      <c r="J122" s="78"/>
    </row>
    <row r="123" ht="24.0" customHeight="1">
      <c r="A123" s="78"/>
      <c r="B123" s="78"/>
      <c r="C123" s="99"/>
      <c r="D123" s="78"/>
      <c r="E123" s="99"/>
      <c r="F123" s="108"/>
      <c r="G123" s="99"/>
      <c r="H123" s="110" t="b">
        <v>0</v>
      </c>
      <c r="I123" s="66" t="str">
        <f t="shared" si="1"/>
        <v/>
      </c>
      <c r="J123" s="78"/>
    </row>
    <row r="124" ht="24.0" customHeight="1">
      <c r="A124" s="78"/>
      <c r="B124" s="78"/>
      <c r="C124" s="99"/>
      <c r="D124" s="78"/>
      <c r="E124" s="99"/>
      <c r="F124" s="108"/>
      <c r="G124" s="99"/>
      <c r="H124" s="110" t="b">
        <v>0</v>
      </c>
      <c r="I124" s="66" t="str">
        <f t="shared" si="1"/>
        <v/>
      </c>
      <c r="J124" s="78"/>
    </row>
    <row r="125" ht="24.0" customHeight="1">
      <c r="A125" s="78"/>
      <c r="B125" s="78"/>
      <c r="C125" s="99"/>
      <c r="D125" s="78"/>
      <c r="E125" s="99"/>
      <c r="F125" s="108"/>
      <c r="G125" s="99"/>
      <c r="H125" s="110" t="b">
        <v>0</v>
      </c>
      <c r="I125" s="66" t="str">
        <f t="shared" si="1"/>
        <v/>
      </c>
      <c r="J125" s="78"/>
    </row>
    <row r="126" ht="24.0" customHeight="1">
      <c r="A126" s="78"/>
      <c r="B126" s="78"/>
      <c r="C126" s="99"/>
      <c r="D126" s="78"/>
      <c r="E126" s="99"/>
      <c r="F126" s="108"/>
      <c r="G126" s="99"/>
      <c r="H126" s="110" t="b">
        <v>0</v>
      </c>
      <c r="I126" s="66" t="str">
        <f t="shared" si="1"/>
        <v/>
      </c>
      <c r="J126" s="78"/>
    </row>
    <row r="127" ht="24.0" customHeight="1">
      <c r="A127" s="78"/>
      <c r="B127" s="78"/>
      <c r="C127" s="99"/>
      <c r="D127" s="78"/>
      <c r="E127" s="99"/>
      <c r="F127" s="108"/>
      <c r="G127" s="99"/>
      <c r="H127" s="110" t="b">
        <v>0</v>
      </c>
      <c r="I127" s="66" t="str">
        <f t="shared" si="1"/>
        <v/>
      </c>
      <c r="J127" s="78"/>
    </row>
    <row r="128" ht="24.0" customHeight="1">
      <c r="A128" s="78"/>
      <c r="B128" s="78"/>
      <c r="C128" s="99"/>
      <c r="D128" s="78"/>
      <c r="E128" s="99"/>
      <c r="F128" s="108"/>
      <c r="G128" s="99"/>
      <c r="H128" s="110" t="b">
        <v>0</v>
      </c>
      <c r="I128" s="66" t="str">
        <f t="shared" si="1"/>
        <v/>
      </c>
      <c r="J128" s="78"/>
    </row>
    <row r="129" ht="24.0" customHeight="1">
      <c r="A129" s="78"/>
      <c r="B129" s="78"/>
      <c r="C129" s="99"/>
      <c r="D129" s="78"/>
      <c r="E129" s="99"/>
      <c r="F129" s="108"/>
      <c r="G129" s="99"/>
      <c r="H129" s="110" t="b">
        <v>0</v>
      </c>
      <c r="I129" s="66" t="str">
        <f t="shared" si="1"/>
        <v/>
      </c>
      <c r="J129" s="78"/>
    </row>
    <row r="130" ht="24.0" customHeight="1">
      <c r="A130" s="78"/>
      <c r="B130" s="78"/>
      <c r="C130" s="99"/>
      <c r="D130" s="78"/>
      <c r="E130" s="99"/>
      <c r="F130" s="108"/>
      <c r="G130" s="99"/>
      <c r="H130" s="110" t="b">
        <v>0</v>
      </c>
      <c r="I130" s="66" t="str">
        <f t="shared" si="1"/>
        <v/>
      </c>
      <c r="J130" s="78"/>
    </row>
    <row r="131" ht="24.0" customHeight="1">
      <c r="A131" s="78"/>
      <c r="B131" s="78"/>
      <c r="C131" s="99"/>
      <c r="D131" s="78"/>
      <c r="E131" s="99"/>
      <c r="F131" s="108"/>
      <c r="G131" s="99"/>
      <c r="H131" s="110" t="b">
        <v>0</v>
      </c>
      <c r="I131" s="66" t="str">
        <f t="shared" si="1"/>
        <v/>
      </c>
      <c r="J131" s="78"/>
    </row>
    <row r="132" ht="24.0" customHeight="1">
      <c r="A132" s="78"/>
      <c r="B132" s="78"/>
      <c r="C132" s="99"/>
      <c r="D132" s="78"/>
      <c r="E132" s="99"/>
      <c r="F132" s="108"/>
      <c r="G132" s="99"/>
      <c r="H132" s="110" t="b">
        <v>0</v>
      </c>
      <c r="I132" s="66" t="str">
        <f t="shared" si="1"/>
        <v/>
      </c>
      <c r="J132" s="78"/>
    </row>
    <row r="133" ht="24.0" customHeight="1">
      <c r="A133" s="78"/>
      <c r="B133" s="78"/>
      <c r="C133" s="99"/>
      <c r="D133" s="78"/>
      <c r="E133" s="99"/>
      <c r="F133" s="108"/>
      <c r="G133" s="99"/>
      <c r="H133" s="110" t="b">
        <v>0</v>
      </c>
      <c r="I133" s="66" t="str">
        <f t="shared" si="1"/>
        <v/>
      </c>
      <c r="J133" s="78"/>
    </row>
    <row r="134" ht="24.0" customHeight="1">
      <c r="A134" s="78"/>
      <c r="B134" s="78"/>
      <c r="C134" s="99"/>
      <c r="D134" s="78"/>
      <c r="E134" s="99"/>
      <c r="F134" s="108"/>
      <c r="G134" s="99"/>
      <c r="H134" s="110" t="b">
        <v>0</v>
      </c>
      <c r="I134" s="66" t="str">
        <f t="shared" si="1"/>
        <v/>
      </c>
      <c r="J134" s="78"/>
    </row>
    <row r="135" ht="24.0" customHeight="1">
      <c r="A135" s="78"/>
      <c r="B135" s="78"/>
      <c r="C135" s="99"/>
      <c r="D135" s="78"/>
      <c r="E135" s="99"/>
      <c r="F135" s="108"/>
      <c r="G135" s="99"/>
      <c r="H135" s="110" t="b">
        <v>0</v>
      </c>
      <c r="I135" s="66" t="str">
        <f t="shared" si="1"/>
        <v/>
      </c>
      <c r="J135" s="78"/>
    </row>
    <row r="136" ht="24.0" customHeight="1">
      <c r="A136" s="78"/>
      <c r="B136" s="78"/>
      <c r="C136" s="99"/>
      <c r="D136" s="78"/>
      <c r="E136" s="99"/>
      <c r="F136" s="108"/>
      <c r="G136" s="99"/>
      <c r="H136" s="110" t="b">
        <v>0</v>
      </c>
      <c r="I136" s="66" t="str">
        <f t="shared" si="1"/>
        <v/>
      </c>
      <c r="J136" s="78"/>
    </row>
    <row r="137" ht="24.0" customHeight="1">
      <c r="A137" s="78"/>
      <c r="B137" s="78"/>
      <c r="C137" s="99"/>
      <c r="D137" s="78"/>
      <c r="E137" s="99"/>
      <c r="F137" s="108"/>
      <c r="G137" s="99"/>
      <c r="H137" s="110" t="b">
        <v>0</v>
      </c>
      <c r="I137" s="66" t="str">
        <f t="shared" si="1"/>
        <v/>
      </c>
      <c r="J137" s="78"/>
    </row>
    <row r="138" ht="24.0" customHeight="1">
      <c r="A138" s="78"/>
      <c r="B138" s="78"/>
      <c r="C138" s="99"/>
      <c r="D138" s="78"/>
      <c r="E138" s="99"/>
      <c r="F138" s="108"/>
      <c r="G138" s="99"/>
      <c r="H138" s="110" t="b">
        <v>0</v>
      </c>
      <c r="I138" s="66" t="str">
        <f t="shared" si="1"/>
        <v/>
      </c>
      <c r="J138" s="78"/>
    </row>
    <row r="139" ht="24.0" customHeight="1">
      <c r="A139" s="78"/>
      <c r="B139" s="78"/>
      <c r="C139" s="99"/>
      <c r="D139" s="78"/>
      <c r="E139" s="99"/>
      <c r="F139" s="108"/>
      <c r="G139" s="99"/>
      <c r="H139" s="110" t="b">
        <v>0</v>
      </c>
      <c r="I139" s="66" t="str">
        <f t="shared" si="1"/>
        <v/>
      </c>
      <c r="J139" s="78"/>
    </row>
    <row r="140" ht="24.0" customHeight="1">
      <c r="A140" s="78"/>
      <c r="B140" s="78"/>
      <c r="C140" s="99"/>
      <c r="D140" s="78"/>
      <c r="E140" s="99"/>
      <c r="F140" s="108"/>
      <c r="G140" s="99"/>
      <c r="H140" s="110" t="b">
        <v>0</v>
      </c>
      <c r="I140" s="66" t="str">
        <f t="shared" si="1"/>
        <v/>
      </c>
      <c r="J140" s="78"/>
    </row>
    <row r="141" ht="24.0" customHeight="1">
      <c r="A141" s="78"/>
      <c r="B141" s="78"/>
      <c r="C141" s="99"/>
      <c r="D141" s="78"/>
      <c r="E141" s="99"/>
      <c r="F141" s="108"/>
      <c r="G141" s="99"/>
      <c r="H141" s="110" t="b">
        <v>0</v>
      </c>
      <c r="I141" s="66" t="str">
        <f t="shared" si="1"/>
        <v/>
      </c>
      <c r="J141" s="78"/>
    </row>
    <row r="142" ht="24.0" customHeight="1">
      <c r="A142" s="78"/>
      <c r="B142" s="78"/>
      <c r="C142" s="99"/>
      <c r="D142" s="78"/>
      <c r="E142" s="99"/>
      <c r="F142" s="108"/>
      <c r="G142" s="99"/>
      <c r="H142" s="110" t="b">
        <v>0</v>
      </c>
      <c r="I142" s="66" t="str">
        <f t="shared" si="1"/>
        <v/>
      </c>
      <c r="J142" s="78"/>
    </row>
    <row r="143" ht="24.0" customHeight="1">
      <c r="A143" s="78"/>
      <c r="B143" s="78"/>
      <c r="C143" s="99"/>
      <c r="D143" s="78"/>
      <c r="E143" s="99"/>
      <c r="F143" s="108"/>
      <c r="G143" s="99"/>
      <c r="H143" s="110" t="b">
        <v>0</v>
      </c>
      <c r="I143" s="66" t="str">
        <f t="shared" si="1"/>
        <v/>
      </c>
      <c r="J143" s="78"/>
    </row>
    <row r="144" ht="24.0" customHeight="1">
      <c r="A144" s="78"/>
      <c r="B144" s="78"/>
      <c r="C144" s="99"/>
      <c r="D144" s="78"/>
      <c r="E144" s="99"/>
      <c r="F144" s="108"/>
      <c r="G144" s="99"/>
      <c r="H144" s="110" t="b">
        <v>0</v>
      </c>
      <c r="I144" s="66" t="str">
        <f t="shared" si="1"/>
        <v/>
      </c>
      <c r="J144" s="78"/>
    </row>
    <row r="145" ht="24.0" customHeight="1">
      <c r="A145" s="78"/>
      <c r="B145" s="78"/>
      <c r="C145" s="99"/>
      <c r="D145" s="78"/>
      <c r="E145" s="99"/>
      <c r="F145" s="108"/>
      <c r="G145" s="99"/>
      <c r="H145" s="110" t="b">
        <v>0</v>
      </c>
      <c r="I145" s="66" t="str">
        <f t="shared" si="1"/>
        <v/>
      </c>
      <c r="J145" s="78"/>
    </row>
    <row r="146" ht="24.0" customHeight="1">
      <c r="A146" s="78"/>
      <c r="B146" s="78"/>
      <c r="C146" s="99"/>
      <c r="D146" s="78"/>
      <c r="E146" s="99"/>
      <c r="F146" s="108"/>
      <c r="G146" s="99"/>
      <c r="H146" s="110" t="b">
        <v>0</v>
      </c>
      <c r="I146" s="66" t="str">
        <f t="shared" si="1"/>
        <v/>
      </c>
      <c r="J146" s="78"/>
    </row>
    <row r="147" ht="24.0" customHeight="1">
      <c r="A147" s="78"/>
      <c r="B147" s="78"/>
      <c r="C147" s="99"/>
      <c r="D147" s="78"/>
      <c r="E147" s="99"/>
      <c r="F147" s="108"/>
      <c r="G147" s="99"/>
      <c r="H147" s="110" t="b">
        <v>0</v>
      </c>
      <c r="I147" s="66" t="str">
        <f t="shared" si="1"/>
        <v/>
      </c>
      <c r="J147" s="78"/>
    </row>
    <row r="148" ht="24.0" customHeight="1">
      <c r="A148" s="78"/>
      <c r="B148" s="78"/>
      <c r="C148" s="99"/>
      <c r="D148" s="78"/>
      <c r="E148" s="99"/>
      <c r="F148" s="108"/>
      <c r="G148" s="99"/>
      <c r="H148" s="110" t="b">
        <v>0</v>
      </c>
      <c r="I148" s="66" t="str">
        <f t="shared" si="1"/>
        <v/>
      </c>
      <c r="J148" s="78"/>
    </row>
    <row r="149" ht="24.0" customHeight="1">
      <c r="A149" s="78"/>
      <c r="B149" s="78"/>
      <c r="C149" s="99"/>
      <c r="D149" s="78"/>
      <c r="E149" s="99"/>
      <c r="F149" s="108"/>
      <c r="G149" s="99"/>
      <c r="H149" s="110" t="b">
        <v>0</v>
      </c>
      <c r="I149" s="66" t="str">
        <f t="shared" si="1"/>
        <v/>
      </c>
      <c r="J149" s="78"/>
    </row>
    <row r="150" ht="24.0" customHeight="1">
      <c r="A150" s="78"/>
      <c r="B150" s="78"/>
      <c r="C150" s="99"/>
      <c r="D150" s="78"/>
      <c r="E150" s="99"/>
      <c r="F150" s="108"/>
      <c r="G150" s="99"/>
      <c r="H150" s="110" t="b">
        <v>0</v>
      </c>
      <c r="I150" s="66" t="str">
        <f t="shared" si="1"/>
        <v/>
      </c>
      <c r="J150" s="78"/>
    </row>
    <row r="151" ht="24.0" customHeight="1">
      <c r="A151" s="78"/>
      <c r="B151" s="78"/>
      <c r="C151" s="99"/>
      <c r="D151" s="78"/>
      <c r="E151" s="99"/>
      <c r="F151" s="108"/>
      <c r="G151" s="99"/>
      <c r="H151" s="110" t="b">
        <v>0</v>
      </c>
      <c r="I151" s="66" t="str">
        <f t="shared" si="1"/>
        <v/>
      </c>
      <c r="J151" s="78"/>
    </row>
    <row r="152" ht="24.0" customHeight="1">
      <c r="A152" s="78"/>
      <c r="B152" s="78"/>
      <c r="C152" s="99"/>
      <c r="D152" s="78"/>
      <c r="E152" s="99"/>
      <c r="F152" s="108"/>
      <c r="G152" s="99"/>
      <c r="H152" s="110" t="b">
        <v>0</v>
      </c>
      <c r="I152" s="66" t="str">
        <f t="shared" si="1"/>
        <v/>
      </c>
      <c r="J152" s="78"/>
    </row>
    <row r="153" ht="24.0" customHeight="1">
      <c r="A153" s="78"/>
      <c r="B153" s="78"/>
      <c r="C153" s="99"/>
      <c r="D153" s="78"/>
      <c r="E153" s="99"/>
      <c r="F153" s="108"/>
      <c r="G153" s="99"/>
      <c r="H153" s="110" t="b">
        <v>0</v>
      </c>
      <c r="I153" s="66" t="str">
        <f t="shared" si="1"/>
        <v/>
      </c>
      <c r="J153" s="78"/>
    </row>
    <row r="154" ht="24.0" customHeight="1">
      <c r="A154" s="78"/>
      <c r="B154" s="78"/>
      <c r="C154" s="99"/>
      <c r="D154" s="78"/>
      <c r="E154" s="99"/>
      <c r="F154" s="108"/>
      <c r="G154" s="99"/>
      <c r="H154" s="110" t="b">
        <v>0</v>
      </c>
      <c r="I154" s="66" t="str">
        <f t="shared" si="1"/>
        <v/>
      </c>
      <c r="J154" s="78"/>
    </row>
    <row r="155" ht="24.0" customHeight="1">
      <c r="A155" s="78"/>
      <c r="B155" s="78"/>
      <c r="C155" s="99"/>
      <c r="D155" s="78"/>
      <c r="E155" s="99"/>
      <c r="F155" s="108"/>
      <c r="G155" s="99"/>
      <c r="H155" s="110" t="b">
        <v>0</v>
      </c>
      <c r="I155" s="66" t="str">
        <f t="shared" si="1"/>
        <v/>
      </c>
      <c r="J155" s="78"/>
    </row>
    <row r="156" ht="24.0" customHeight="1">
      <c r="A156" s="78"/>
      <c r="B156" s="78"/>
      <c r="C156" s="99"/>
      <c r="D156" s="78"/>
      <c r="E156" s="99"/>
      <c r="F156" s="108"/>
      <c r="G156" s="99"/>
      <c r="H156" s="110" t="b">
        <v>0</v>
      </c>
      <c r="I156" s="66" t="str">
        <f t="shared" si="1"/>
        <v/>
      </c>
      <c r="J156" s="78"/>
    </row>
    <row r="157" ht="24.0" customHeight="1">
      <c r="A157" s="78"/>
      <c r="B157" s="78"/>
      <c r="C157" s="99"/>
      <c r="D157" s="78"/>
      <c r="E157" s="99"/>
      <c r="F157" s="108"/>
      <c r="G157" s="99"/>
      <c r="H157" s="110" t="b">
        <v>0</v>
      </c>
      <c r="I157" s="66" t="str">
        <f t="shared" si="1"/>
        <v/>
      </c>
      <c r="J157" s="78"/>
    </row>
    <row r="158" ht="24.0" customHeight="1">
      <c r="A158" s="78"/>
      <c r="B158" s="78"/>
      <c r="C158" s="99"/>
      <c r="D158" s="78"/>
      <c r="E158" s="99"/>
      <c r="F158" s="108"/>
      <c r="G158" s="99"/>
      <c r="H158" s="110" t="b">
        <v>0</v>
      </c>
      <c r="I158" s="66" t="str">
        <f t="shared" si="1"/>
        <v/>
      </c>
      <c r="J158" s="78"/>
    </row>
    <row r="159" ht="24.0" customHeight="1">
      <c r="A159" s="78"/>
      <c r="B159" s="78"/>
      <c r="C159" s="99"/>
      <c r="D159" s="78"/>
      <c r="E159" s="99"/>
      <c r="F159" s="108"/>
      <c r="G159" s="99"/>
      <c r="H159" s="110" t="b">
        <v>0</v>
      </c>
      <c r="I159" s="66" t="str">
        <f t="shared" si="1"/>
        <v/>
      </c>
      <c r="J159" s="78"/>
    </row>
    <row r="160" ht="24.0" customHeight="1">
      <c r="A160" s="78"/>
      <c r="B160" s="78"/>
      <c r="C160" s="99"/>
      <c r="D160" s="78"/>
      <c r="E160" s="99"/>
      <c r="F160" s="108"/>
      <c r="G160" s="99"/>
      <c r="H160" s="110" t="b">
        <v>0</v>
      </c>
      <c r="I160" s="66" t="str">
        <f t="shared" si="1"/>
        <v/>
      </c>
      <c r="J160" s="78"/>
    </row>
    <row r="161" ht="24.0" customHeight="1">
      <c r="A161" s="78"/>
      <c r="B161" s="78"/>
      <c r="C161" s="99"/>
      <c r="D161" s="78"/>
      <c r="E161" s="99"/>
      <c r="F161" s="108"/>
      <c r="G161" s="99"/>
      <c r="H161" s="110" t="b">
        <v>0</v>
      </c>
      <c r="I161" s="66" t="str">
        <f t="shared" si="1"/>
        <v/>
      </c>
      <c r="J161" s="78"/>
    </row>
    <row r="162" ht="24.0" customHeight="1">
      <c r="A162" s="78"/>
      <c r="B162" s="78"/>
      <c r="C162" s="99"/>
      <c r="D162" s="78"/>
      <c r="E162" s="99"/>
      <c r="F162" s="108"/>
      <c r="G162" s="99"/>
      <c r="H162" s="110" t="b">
        <v>0</v>
      </c>
      <c r="I162" s="66" t="str">
        <f t="shared" si="1"/>
        <v/>
      </c>
      <c r="J162" s="78"/>
    </row>
    <row r="163" ht="24.0" customHeight="1">
      <c r="A163" s="78"/>
      <c r="B163" s="78"/>
      <c r="C163" s="99"/>
      <c r="D163" s="78"/>
      <c r="E163" s="99"/>
      <c r="F163" s="108"/>
      <c r="G163" s="99"/>
      <c r="H163" s="110" t="b">
        <v>0</v>
      </c>
      <c r="I163" s="66" t="str">
        <f t="shared" si="1"/>
        <v/>
      </c>
      <c r="J163" s="78"/>
    </row>
    <row r="164" ht="24.0" customHeight="1">
      <c r="A164" s="78"/>
      <c r="B164" s="78"/>
      <c r="C164" s="99"/>
      <c r="D164" s="78"/>
      <c r="E164" s="99"/>
      <c r="F164" s="108"/>
      <c r="G164" s="99"/>
      <c r="H164" s="110" t="b">
        <v>0</v>
      </c>
      <c r="I164" s="66" t="str">
        <f t="shared" si="1"/>
        <v/>
      </c>
      <c r="J164" s="78"/>
    </row>
    <row r="165" ht="24.0" customHeight="1">
      <c r="A165" s="78"/>
      <c r="B165" s="78"/>
      <c r="C165" s="99"/>
      <c r="D165" s="78"/>
      <c r="E165" s="99"/>
      <c r="F165" s="108"/>
      <c r="G165" s="99"/>
      <c r="H165" s="110" t="b">
        <v>0</v>
      </c>
      <c r="I165" s="66" t="str">
        <f t="shared" si="1"/>
        <v/>
      </c>
      <c r="J165" s="78"/>
    </row>
    <row r="166" ht="24.0" customHeight="1">
      <c r="A166" s="78"/>
      <c r="B166" s="78"/>
      <c r="C166" s="99"/>
      <c r="D166" s="78"/>
      <c r="E166" s="99"/>
      <c r="F166" s="108"/>
      <c r="G166" s="99"/>
      <c r="H166" s="110" t="b">
        <v>0</v>
      </c>
      <c r="I166" s="66" t="str">
        <f t="shared" si="1"/>
        <v/>
      </c>
      <c r="J166" s="78"/>
    </row>
    <row r="167" ht="24.0" customHeight="1">
      <c r="A167" s="78"/>
      <c r="B167" s="78"/>
      <c r="C167" s="99"/>
      <c r="D167" s="78"/>
      <c r="E167" s="99"/>
      <c r="F167" s="108"/>
      <c r="G167" s="99"/>
      <c r="H167" s="110" t="b">
        <v>0</v>
      </c>
      <c r="I167" s="66" t="str">
        <f t="shared" si="1"/>
        <v/>
      </c>
      <c r="J167" s="78"/>
    </row>
    <row r="168" ht="24.0" customHeight="1">
      <c r="A168" s="78"/>
      <c r="B168" s="78"/>
      <c r="C168" s="99"/>
      <c r="D168" s="78"/>
      <c r="E168" s="99"/>
      <c r="F168" s="108"/>
      <c r="G168" s="99"/>
      <c r="H168" s="110" t="b">
        <v>0</v>
      </c>
      <c r="I168" s="66" t="str">
        <f t="shared" si="1"/>
        <v/>
      </c>
      <c r="J168" s="78"/>
    </row>
    <row r="169" ht="24.0" customHeight="1">
      <c r="A169" s="78"/>
      <c r="B169" s="78"/>
      <c r="C169" s="99"/>
      <c r="D169" s="78"/>
      <c r="E169" s="99"/>
      <c r="F169" s="108"/>
      <c r="G169" s="99"/>
      <c r="H169" s="110" t="b">
        <v>0</v>
      </c>
      <c r="I169" s="66" t="str">
        <f t="shared" si="1"/>
        <v/>
      </c>
      <c r="J169" s="78"/>
    </row>
    <row r="170" ht="24.0" customHeight="1">
      <c r="A170" s="78"/>
      <c r="B170" s="78"/>
      <c r="C170" s="99"/>
      <c r="D170" s="78"/>
      <c r="E170" s="99"/>
      <c r="F170" s="108"/>
      <c r="G170" s="99"/>
      <c r="H170" s="110" t="b">
        <v>0</v>
      </c>
      <c r="I170" s="66" t="str">
        <f t="shared" si="1"/>
        <v/>
      </c>
      <c r="J170" s="78"/>
    </row>
    <row r="171" ht="24.0" customHeight="1">
      <c r="A171" s="78"/>
      <c r="B171" s="78"/>
      <c r="C171" s="99"/>
      <c r="D171" s="78"/>
      <c r="E171" s="99"/>
      <c r="F171" s="108"/>
      <c r="G171" s="99"/>
      <c r="H171" s="110" t="b">
        <v>0</v>
      </c>
      <c r="I171" s="66" t="str">
        <f t="shared" si="1"/>
        <v/>
      </c>
      <c r="J171" s="78"/>
    </row>
    <row r="172" ht="24.0" customHeight="1">
      <c r="A172" s="78"/>
      <c r="B172" s="78"/>
      <c r="C172" s="99"/>
      <c r="D172" s="78"/>
      <c r="E172" s="99"/>
      <c r="F172" s="108"/>
      <c r="G172" s="99"/>
      <c r="H172" s="110" t="b">
        <v>0</v>
      </c>
      <c r="I172" s="66" t="str">
        <f t="shared" si="1"/>
        <v/>
      </c>
      <c r="J172" s="78"/>
    </row>
    <row r="173" ht="24.0" customHeight="1">
      <c r="A173" s="78"/>
      <c r="B173" s="78"/>
      <c r="C173" s="99"/>
      <c r="D173" s="78"/>
      <c r="E173" s="99"/>
      <c r="F173" s="108"/>
      <c r="G173" s="99"/>
      <c r="H173" s="110" t="b">
        <v>0</v>
      </c>
      <c r="I173" s="66" t="str">
        <f t="shared" si="1"/>
        <v/>
      </c>
      <c r="J173" s="78"/>
    </row>
    <row r="174" ht="24.0" customHeight="1">
      <c r="A174" s="78"/>
      <c r="B174" s="78"/>
      <c r="C174" s="99"/>
      <c r="D174" s="78"/>
      <c r="E174" s="99"/>
      <c r="F174" s="108"/>
      <c r="G174" s="99"/>
      <c r="H174" s="110" t="b">
        <v>0</v>
      </c>
      <c r="I174" s="66" t="str">
        <f t="shared" si="1"/>
        <v/>
      </c>
      <c r="J174" s="78"/>
    </row>
    <row r="175" ht="24.0" customHeight="1">
      <c r="A175" s="78"/>
      <c r="B175" s="78"/>
      <c r="C175" s="99"/>
      <c r="D175" s="78"/>
      <c r="E175" s="99"/>
      <c r="F175" s="108"/>
      <c r="G175" s="99"/>
      <c r="H175" s="110" t="b">
        <v>0</v>
      </c>
      <c r="I175" s="66" t="str">
        <f t="shared" si="1"/>
        <v/>
      </c>
      <c r="J175" s="78"/>
    </row>
    <row r="176" ht="24.0" customHeight="1">
      <c r="A176" s="78"/>
      <c r="B176" s="78"/>
      <c r="C176" s="99"/>
      <c r="D176" s="78"/>
      <c r="E176" s="99"/>
      <c r="F176" s="108"/>
      <c r="G176" s="99"/>
      <c r="H176" s="110" t="b">
        <v>0</v>
      </c>
      <c r="I176" s="66" t="str">
        <f t="shared" si="1"/>
        <v/>
      </c>
      <c r="J176" s="78"/>
    </row>
    <row r="177" ht="24.0" customHeight="1">
      <c r="A177" s="78"/>
      <c r="B177" s="78"/>
      <c r="C177" s="99"/>
      <c r="D177" s="78"/>
      <c r="E177" s="99"/>
      <c r="F177" s="108"/>
      <c r="G177" s="99"/>
      <c r="H177" s="110" t="b">
        <v>0</v>
      </c>
      <c r="I177" s="66" t="str">
        <f t="shared" si="1"/>
        <v/>
      </c>
      <c r="J177" s="78"/>
    </row>
    <row r="178" ht="24.0" customHeight="1">
      <c r="A178" s="78"/>
      <c r="B178" s="78"/>
      <c r="C178" s="99"/>
      <c r="D178" s="78"/>
      <c r="E178" s="99"/>
      <c r="F178" s="108"/>
      <c r="G178" s="99"/>
      <c r="H178" s="110" t="b">
        <v>0</v>
      </c>
      <c r="I178" s="66" t="str">
        <f t="shared" si="1"/>
        <v/>
      </c>
      <c r="J178" s="78"/>
    </row>
    <row r="179" ht="24.0" customHeight="1">
      <c r="A179" s="78"/>
      <c r="B179" s="78"/>
      <c r="C179" s="99"/>
      <c r="D179" s="78"/>
      <c r="E179" s="99"/>
      <c r="F179" s="108"/>
      <c r="G179" s="99"/>
      <c r="H179" s="110" t="b">
        <v>0</v>
      </c>
      <c r="I179" s="66" t="str">
        <f t="shared" si="1"/>
        <v/>
      </c>
      <c r="J179" s="78"/>
    </row>
    <row r="180" ht="24.0" customHeight="1">
      <c r="A180" s="78"/>
      <c r="B180" s="78"/>
      <c r="C180" s="99"/>
      <c r="D180" s="78"/>
      <c r="E180" s="99"/>
      <c r="F180" s="108"/>
      <c r="G180" s="99"/>
      <c r="H180" s="110" t="b">
        <v>0</v>
      </c>
      <c r="I180" s="66" t="str">
        <f t="shared" si="1"/>
        <v/>
      </c>
      <c r="J180" s="78"/>
    </row>
    <row r="181" ht="24.0" customHeight="1">
      <c r="A181" s="78"/>
      <c r="B181" s="78"/>
      <c r="C181" s="99"/>
      <c r="D181" s="78"/>
      <c r="E181" s="99"/>
      <c r="F181" s="108"/>
      <c r="G181" s="99"/>
      <c r="H181" s="110" t="b">
        <v>0</v>
      </c>
      <c r="I181" s="66" t="str">
        <f t="shared" si="1"/>
        <v/>
      </c>
      <c r="J181" s="78"/>
    </row>
    <row r="182" ht="24.0" customHeight="1">
      <c r="A182" s="78"/>
      <c r="B182" s="78"/>
      <c r="C182" s="99"/>
      <c r="D182" s="78"/>
      <c r="E182" s="99"/>
      <c r="F182" s="108"/>
      <c r="G182" s="99"/>
      <c r="H182" s="110" t="b">
        <v>0</v>
      </c>
      <c r="I182" s="66" t="str">
        <f t="shared" si="1"/>
        <v/>
      </c>
      <c r="J182" s="78"/>
    </row>
    <row r="183" ht="24.0" customHeight="1">
      <c r="A183" s="78"/>
      <c r="B183" s="78"/>
      <c r="C183" s="99"/>
      <c r="D183" s="78"/>
      <c r="E183" s="99"/>
      <c r="F183" s="108"/>
      <c r="G183" s="99"/>
      <c r="H183" s="110" t="b">
        <v>0</v>
      </c>
      <c r="I183" s="66" t="str">
        <f t="shared" si="1"/>
        <v/>
      </c>
      <c r="J183" s="78"/>
    </row>
    <row r="184" ht="24.0" customHeight="1">
      <c r="A184" s="78"/>
      <c r="B184" s="78"/>
      <c r="C184" s="99"/>
      <c r="D184" s="78"/>
      <c r="E184" s="99"/>
      <c r="F184" s="108"/>
      <c r="G184" s="99"/>
      <c r="H184" s="110" t="b">
        <v>0</v>
      </c>
      <c r="I184" s="66" t="str">
        <f t="shared" si="1"/>
        <v/>
      </c>
      <c r="J184" s="78"/>
    </row>
    <row r="185" ht="24.0" customHeight="1">
      <c r="A185" s="78"/>
      <c r="B185" s="78"/>
      <c r="C185" s="99"/>
      <c r="D185" s="78"/>
      <c r="E185" s="99"/>
      <c r="F185" s="108"/>
      <c r="G185" s="99"/>
      <c r="H185" s="110" t="b">
        <v>0</v>
      </c>
      <c r="I185" s="66" t="str">
        <f t="shared" si="1"/>
        <v/>
      </c>
      <c r="J185" s="78"/>
    </row>
    <row r="186" ht="24.0" customHeight="1">
      <c r="A186" s="78"/>
      <c r="B186" s="78"/>
      <c r="C186" s="99"/>
      <c r="D186" s="78"/>
      <c r="E186" s="99"/>
      <c r="F186" s="108"/>
      <c r="G186" s="99"/>
      <c r="H186" s="110" t="b">
        <v>0</v>
      </c>
      <c r="I186" s="66" t="str">
        <f t="shared" si="1"/>
        <v/>
      </c>
      <c r="J186" s="78"/>
    </row>
    <row r="187" ht="24.0" customHeight="1">
      <c r="A187" s="78"/>
      <c r="B187" s="78"/>
      <c r="C187" s="99"/>
      <c r="D187" s="78"/>
      <c r="E187" s="99"/>
      <c r="F187" s="108"/>
      <c r="G187" s="99"/>
      <c r="H187" s="110" t="b">
        <v>0</v>
      </c>
      <c r="I187" s="66" t="str">
        <f t="shared" si="1"/>
        <v/>
      </c>
      <c r="J187" s="78"/>
    </row>
    <row r="188" ht="24.0" customHeight="1">
      <c r="A188" s="78"/>
      <c r="B188" s="78"/>
      <c r="C188" s="99"/>
      <c r="D188" s="78"/>
      <c r="E188" s="99"/>
      <c r="F188" s="108"/>
      <c r="G188" s="99"/>
      <c r="H188" s="110" t="b">
        <v>0</v>
      </c>
      <c r="I188" s="66" t="str">
        <f t="shared" si="1"/>
        <v/>
      </c>
      <c r="J188" s="78"/>
    </row>
    <row r="189" ht="24.0" customHeight="1">
      <c r="A189" s="78"/>
      <c r="B189" s="78"/>
      <c r="C189" s="99"/>
      <c r="D189" s="78"/>
      <c r="E189" s="99"/>
      <c r="F189" s="108"/>
      <c r="G189" s="99"/>
      <c r="H189" s="110" t="b">
        <v>0</v>
      </c>
      <c r="I189" s="66" t="str">
        <f t="shared" si="1"/>
        <v/>
      </c>
      <c r="J189" s="78"/>
    </row>
    <row r="190" ht="24.0" customHeight="1">
      <c r="A190" s="78"/>
      <c r="B190" s="78"/>
      <c r="C190" s="99"/>
      <c r="D190" s="78"/>
      <c r="E190" s="99"/>
      <c r="F190" s="108"/>
      <c r="G190" s="99"/>
      <c r="H190" s="110" t="b">
        <v>0</v>
      </c>
      <c r="I190" s="66" t="str">
        <f t="shared" si="1"/>
        <v/>
      </c>
      <c r="J190" s="78"/>
    </row>
    <row r="191" ht="24.0" customHeight="1">
      <c r="A191" s="78"/>
      <c r="B191" s="78"/>
      <c r="C191" s="99"/>
      <c r="D191" s="78"/>
      <c r="E191" s="99"/>
      <c r="F191" s="108"/>
      <c r="G191" s="99"/>
      <c r="H191" s="110" t="b">
        <v>0</v>
      </c>
      <c r="I191" s="66" t="str">
        <f t="shared" si="1"/>
        <v/>
      </c>
      <c r="J191" s="78"/>
    </row>
    <row r="192" ht="24.0" customHeight="1">
      <c r="A192" s="78"/>
      <c r="B192" s="78"/>
      <c r="C192" s="99"/>
      <c r="D192" s="78"/>
      <c r="E192" s="99"/>
      <c r="F192" s="108"/>
      <c r="G192" s="99"/>
      <c r="H192" s="110" t="b">
        <v>0</v>
      </c>
      <c r="I192" s="66" t="str">
        <f t="shared" si="1"/>
        <v/>
      </c>
      <c r="J192" s="78"/>
    </row>
    <row r="193" ht="24.0" customHeight="1">
      <c r="A193" s="78"/>
      <c r="B193" s="78"/>
      <c r="C193" s="99"/>
      <c r="D193" s="78"/>
      <c r="E193" s="99"/>
      <c r="F193" s="108"/>
      <c r="G193" s="99"/>
      <c r="H193" s="110" t="b">
        <v>0</v>
      </c>
      <c r="I193" s="66" t="str">
        <f t="shared" si="1"/>
        <v/>
      </c>
      <c r="J193" s="78"/>
    </row>
    <row r="194" ht="24.0" customHeight="1">
      <c r="A194" s="78"/>
      <c r="B194" s="78"/>
      <c r="C194" s="99"/>
      <c r="D194" s="78"/>
      <c r="E194" s="99"/>
      <c r="F194" s="108"/>
      <c r="G194" s="99"/>
      <c r="H194" s="110" t="b">
        <v>0</v>
      </c>
      <c r="I194" s="66" t="str">
        <f t="shared" si="1"/>
        <v/>
      </c>
      <c r="J194" s="78"/>
    </row>
    <row r="195" ht="24.0" customHeight="1">
      <c r="A195" s="78"/>
      <c r="B195" s="78"/>
      <c r="C195" s="99"/>
      <c r="D195" s="78"/>
      <c r="E195" s="99"/>
      <c r="F195" s="108"/>
      <c r="G195" s="99"/>
      <c r="H195" s="110" t="b">
        <v>0</v>
      </c>
      <c r="I195" s="66" t="str">
        <f t="shared" si="1"/>
        <v/>
      </c>
      <c r="J195" s="78"/>
    </row>
    <row r="196" ht="24.0" customHeight="1">
      <c r="A196" s="78"/>
      <c r="B196" s="78"/>
      <c r="C196" s="99"/>
      <c r="D196" s="78"/>
      <c r="E196" s="99"/>
      <c r="F196" s="108"/>
      <c r="G196" s="99"/>
      <c r="H196" s="110" t="b">
        <v>0</v>
      </c>
      <c r="I196" s="66" t="str">
        <f t="shared" si="1"/>
        <v/>
      </c>
      <c r="J196" s="78"/>
    </row>
    <row r="197" ht="24.0" customHeight="1">
      <c r="A197" s="78"/>
      <c r="B197" s="78"/>
      <c r="C197" s="99"/>
      <c r="D197" s="78"/>
      <c r="E197" s="99"/>
      <c r="F197" s="108"/>
      <c r="G197" s="99"/>
      <c r="H197" s="110" t="b">
        <v>0</v>
      </c>
      <c r="I197" s="66" t="str">
        <f t="shared" si="1"/>
        <v/>
      </c>
      <c r="J197" s="78"/>
    </row>
    <row r="198" ht="24.0" customHeight="1">
      <c r="A198" s="78"/>
      <c r="B198" s="78"/>
      <c r="C198" s="99"/>
      <c r="D198" s="78"/>
      <c r="E198" s="99"/>
      <c r="F198" s="108"/>
      <c r="G198" s="99"/>
      <c r="H198" s="110" t="b">
        <v>0</v>
      </c>
      <c r="I198" s="66" t="str">
        <f t="shared" si="1"/>
        <v/>
      </c>
      <c r="J198" s="78"/>
    </row>
    <row r="199" ht="24.0" customHeight="1">
      <c r="A199" s="78"/>
      <c r="B199" s="78"/>
      <c r="C199" s="99"/>
      <c r="D199" s="78"/>
      <c r="E199" s="99"/>
      <c r="F199" s="108"/>
      <c r="G199" s="99"/>
      <c r="H199" s="110" t="b">
        <v>0</v>
      </c>
      <c r="I199" s="66" t="str">
        <f t="shared" si="1"/>
        <v/>
      </c>
      <c r="J199" s="78"/>
    </row>
    <row r="200" ht="24.0" customHeight="1">
      <c r="A200" s="78"/>
      <c r="B200" s="78"/>
      <c r="C200" s="99"/>
      <c r="D200" s="78"/>
      <c r="E200" s="99"/>
      <c r="F200" s="108"/>
      <c r="G200" s="99"/>
      <c r="H200" s="110" t="b">
        <v>0</v>
      </c>
      <c r="I200" s="66" t="str">
        <f t="shared" si="1"/>
        <v/>
      </c>
      <c r="J200" s="78"/>
    </row>
    <row r="201" ht="24.0" customHeight="1">
      <c r="A201" s="78"/>
      <c r="B201" s="78"/>
      <c r="C201" s="99"/>
      <c r="D201" s="78"/>
      <c r="E201" s="99"/>
      <c r="F201" s="108"/>
      <c r="G201" s="99"/>
      <c r="H201" s="110" t="b">
        <v>0</v>
      </c>
      <c r="I201" s="66" t="str">
        <f t="shared" si="1"/>
        <v/>
      </c>
      <c r="J201" s="78"/>
    </row>
    <row r="202" ht="24.0" customHeight="1">
      <c r="A202" s="78"/>
      <c r="B202" s="78"/>
      <c r="C202" s="99"/>
      <c r="D202" s="78"/>
      <c r="E202" s="99"/>
      <c r="F202" s="108"/>
      <c r="G202" s="99"/>
      <c r="H202" s="110" t="b">
        <v>0</v>
      </c>
      <c r="I202" s="66" t="str">
        <f t="shared" si="1"/>
        <v/>
      </c>
      <c r="J202" s="78"/>
    </row>
    <row r="203" ht="24.0" customHeight="1">
      <c r="A203" s="78"/>
      <c r="B203" s="78"/>
      <c r="C203" s="99"/>
      <c r="D203" s="78"/>
      <c r="E203" s="99"/>
      <c r="F203" s="108"/>
      <c r="G203" s="99"/>
      <c r="H203" s="110" t="b">
        <v>0</v>
      </c>
      <c r="I203" s="66" t="str">
        <f t="shared" si="1"/>
        <v/>
      </c>
      <c r="J203" s="78"/>
    </row>
    <row r="204" ht="24.0" customHeight="1">
      <c r="A204" s="78"/>
      <c r="B204" s="78"/>
      <c r="C204" s="99"/>
      <c r="D204" s="78"/>
      <c r="E204" s="99"/>
      <c r="F204" s="108"/>
      <c r="G204" s="99"/>
      <c r="H204" s="110" t="b">
        <v>0</v>
      </c>
      <c r="I204" s="66" t="str">
        <f t="shared" si="1"/>
        <v/>
      </c>
      <c r="J204" s="78"/>
    </row>
    <row r="205" ht="24.0" customHeight="1">
      <c r="A205" s="78"/>
      <c r="B205" s="78"/>
      <c r="C205" s="99"/>
      <c r="D205" s="78"/>
      <c r="E205" s="99"/>
      <c r="F205" s="108"/>
      <c r="G205" s="99"/>
      <c r="H205" s="110" t="b">
        <v>0</v>
      </c>
      <c r="I205" s="66" t="str">
        <f t="shared" si="1"/>
        <v/>
      </c>
      <c r="J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B3"/>
  </mergeCells>
  <conditionalFormatting sqref="G6:G205">
    <cfRule type="containsText" dxfId="5" priority="1" operator="containsText" text="Submitted">
      <formula>NOT(ISERROR(SEARCH(("Submitted"),(G6))))</formula>
    </cfRule>
  </conditionalFormatting>
  <conditionalFormatting sqref="G6:G205">
    <cfRule type="containsText" dxfId="6" priority="2" operator="containsText" text="Ready">
      <formula>NOT(ISERROR(SEARCH(("Ready"),(G6))))</formula>
    </cfRule>
  </conditionalFormatting>
  <conditionalFormatting sqref="G6:G205">
    <cfRule type="containsText" dxfId="6" priority="3" operator="containsText" text="Admitted">
      <formula>NOT(ISERROR(SEARCH(("Admitted"),(G6))))</formula>
    </cfRule>
  </conditionalFormatting>
  <conditionalFormatting sqref="G6:G205">
    <cfRule type="containsText" dxfId="6" priority="4" operator="containsText" text="Awarded">
      <formula>NOT(ISERROR(SEARCH(("Awarded"),(G6))))</formula>
    </cfRule>
  </conditionalFormatting>
  <conditionalFormatting sqref="G6:G205">
    <cfRule type="containsText" dxfId="6" priority="5" operator="containsText" text="Completed">
      <formula>NOT(ISERROR(SEARCH(("Completed"),(G6))))</formula>
    </cfRule>
  </conditionalFormatting>
  <conditionalFormatting sqref="G6:G205">
    <cfRule type="containsText" dxfId="6" priority="6" operator="containsText" text="Done">
      <formula>NOT(ISERROR(SEARCH(("Done"),(G6))))</formula>
    </cfRule>
  </conditionalFormatting>
  <conditionalFormatting sqref="G6:G205">
    <cfRule type="containsText" dxfId="6" priority="7" operator="containsText" text="Final">
      <formula>NOT(ISERROR(SEARCH(("Final"),(G6))))</formula>
    </cfRule>
  </conditionalFormatting>
  <conditionalFormatting sqref="G6:G205">
    <cfRule type="containsText" dxfId="7" priority="8" operator="containsText" text="Preparing">
      <formula>NOT(ISERROR(SEARCH(("Preparing"),(G6))))</formula>
    </cfRule>
  </conditionalFormatting>
  <conditionalFormatting sqref="G6:G205">
    <cfRule type="containsText" dxfId="7" priority="9" operator="containsText" text="In Progress">
      <formula>NOT(ISERROR(SEARCH(("In Progress"),(G6))))</formula>
    </cfRule>
  </conditionalFormatting>
  <conditionalFormatting sqref="G6:G205">
    <cfRule type="containsText" dxfId="7" priority="10" operator="containsText" text="Shortlisted">
      <formula>NOT(ISERROR(SEARCH(("Shortlisted"),(G6))))</formula>
    </cfRule>
  </conditionalFormatting>
  <conditionalFormatting sqref="G6:G205">
    <cfRule type="containsText" dxfId="8" priority="11" operator="containsText" text="Researching">
      <formula>NOT(ISERROR(SEARCH(("Researching"),(G6))))</formula>
    </cfRule>
  </conditionalFormatting>
  <conditionalFormatting sqref="G6:G205">
    <cfRule type="containsText" dxfId="8" priority="12" operator="containsText" text="Exploring">
      <formula>NOT(ISERROR(SEARCH(("Exploring"),(G6))))</formula>
    </cfRule>
  </conditionalFormatting>
  <conditionalFormatting sqref="G6:G205">
    <cfRule type="containsText" dxfId="9" priority="13" operator="containsText" text="Needs Verification">
      <formula>NOT(ISERROR(SEARCH(("Needs Verification"),(G6))))</formula>
    </cfRule>
  </conditionalFormatting>
  <conditionalFormatting sqref="G6:G205">
    <cfRule type="containsText" dxfId="10" priority="14" operator="containsText" text="Overdue">
      <formula>NOT(ISERROR(SEARCH(("Overdue"),(G6))))</formula>
    </cfRule>
  </conditionalFormatting>
  <conditionalFormatting sqref="G6:G205">
    <cfRule type="containsText" dxfId="10" priority="15" operator="containsText" text="Rejected">
      <formula>NOT(ISERROR(SEARCH(("Rejected"),(G6))))</formula>
    </cfRule>
  </conditionalFormatting>
  <conditionalFormatting sqref="G6:G205">
    <cfRule type="containsText" dxfId="10" priority="16" operator="containsText" text="Blocked">
      <formula>NOT(ISERROR(SEARCH(("Blocked"),(G6))))</formula>
    </cfRule>
  </conditionalFormatting>
  <conditionalFormatting sqref="F6:F205">
    <cfRule type="expression" dxfId="10" priority="17">
      <formula>AND(F6&lt;&gt;"",F6&lt;TODAY())</formula>
    </cfRule>
  </conditionalFormatting>
  <conditionalFormatting sqref="F6:F205">
    <cfRule type="expression" dxfId="9" priority="18">
      <formula>AND(F6&gt;=TODAY(),F6&lt;=TODAY()+7)</formula>
    </cfRule>
  </conditionalFormatting>
  <dataValidations>
    <dataValidation type="custom" allowBlank="1" showDropDown="1" sqref="F6:F205">
      <formula1>OR(NOT(ISERROR(DATEVALUE(F6))), AND(ISNUMBER(F6), LEFT(CELL("format", F6))="D"))</formula1>
    </dataValidation>
    <dataValidation type="list" allowBlank="1" sqref="G6:G205">
      <formula1>"To Do,In Progress,Blocked,Done,Cancelled"</formula1>
    </dataValidation>
    <dataValidation type="list" allowBlank="1" sqref="E6:E205">
      <formula1>"1,2,3,4,5"</formula1>
    </dataValidation>
    <dataValidation type="custom" allowBlank="1" showDropDown="1" sqref="I6:I205">
      <formula1>AND(ISNUMBER(I6),(NOT(OR(NOT(ISERROR(DATEVALUE(I6))), AND(ISNUMBER(I6), LEFT(CELL("format", I6))="D")))))</formula1>
    </dataValidation>
    <dataValidation type="list" allowBlank="1" sqref="C6:C205">
      <formula1>"Program,Scholarship,Application,Scholarship Application,Document,Essay,Recommender,Contact,General"</formula1>
    </dataValidation>
    <dataValidation allowBlank="1" showDropDown="1" sqref="A6:B205 D6:D205 J6:J20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13"/>
    <col customWidth="1" min="2" max="2" width="30.0"/>
    <col customWidth="1" min="3" max="3" width="20.0"/>
    <col customWidth="1" min="4" max="4" width="14.25"/>
    <col customWidth="1" min="5" max="5" width="34.0"/>
    <col customWidth="1" min="6" max="6" width="16.13"/>
    <col customWidth="1" min="7" max="7" width="18.0"/>
    <col customWidth="1" min="8" max="8" width="14.25"/>
    <col customWidth="1" min="9" max="9" width="15.88"/>
    <col customWidth="1" min="10" max="10" width="20.0"/>
    <col customWidth="1" min="11" max="11" width="18.0"/>
    <col customWidth="1" min="12" max="12" width="42.0"/>
    <col customWidth="1" min="13" max="26" width="8.63"/>
  </cols>
  <sheetData>
    <row r="1" ht="33.75" customHeight="1">
      <c r="A1" s="1" t="s">
        <v>317</v>
      </c>
    </row>
    <row r="2" ht="27.75" customHeight="1">
      <c r="A2" s="2" t="s">
        <v>318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31.5" customHeight="1">
      <c r="A5" s="28" t="s">
        <v>319</v>
      </c>
      <c r="B5" s="28" t="s">
        <v>320</v>
      </c>
      <c r="C5" s="28" t="s">
        <v>321</v>
      </c>
      <c r="D5" s="28" t="s">
        <v>322</v>
      </c>
      <c r="E5" s="28" t="s">
        <v>323</v>
      </c>
      <c r="F5" s="28" t="s">
        <v>324</v>
      </c>
      <c r="G5" s="28" t="s">
        <v>70</v>
      </c>
      <c r="H5" s="28" t="s">
        <v>325</v>
      </c>
      <c r="I5" s="28" t="s">
        <v>326</v>
      </c>
      <c r="J5" s="28" t="s">
        <v>243</v>
      </c>
      <c r="K5" s="28" t="s">
        <v>242</v>
      </c>
      <c r="L5" s="28" t="s">
        <v>85</v>
      </c>
      <c r="M5" s="30" t="s">
        <v>326</v>
      </c>
      <c r="N5" s="30" t="s">
        <v>243</v>
      </c>
      <c r="O5" s="30" t="s">
        <v>242</v>
      </c>
      <c r="P5" s="30" t="s">
        <v>85</v>
      </c>
    </row>
    <row r="6" ht="24.0" customHeight="1">
      <c r="A6" s="80" t="s">
        <v>327</v>
      </c>
      <c r="B6" s="82" t="s">
        <v>328</v>
      </c>
      <c r="C6" s="86" t="s">
        <v>329</v>
      </c>
      <c r="D6" s="82" t="s">
        <v>330</v>
      </c>
      <c r="E6" s="62"/>
      <c r="F6" s="106"/>
      <c r="G6" s="86" t="s">
        <v>331</v>
      </c>
      <c r="H6" s="109" t="b">
        <v>1</v>
      </c>
      <c r="I6" s="106">
        <v>46256.0</v>
      </c>
      <c r="J6" s="86" t="s">
        <v>252</v>
      </c>
      <c r="K6" s="82" t="s">
        <v>161</v>
      </c>
      <c r="L6" s="93" t="s">
        <v>332</v>
      </c>
    </row>
    <row r="7" ht="24.0" customHeight="1">
      <c r="A7" s="78"/>
      <c r="B7" s="78"/>
      <c r="C7" s="99"/>
      <c r="D7" s="78"/>
      <c r="E7" s="78"/>
      <c r="F7" s="108"/>
      <c r="G7" s="99"/>
      <c r="H7" s="110" t="b">
        <v>0</v>
      </c>
      <c r="I7" s="108"/>
      <c r="J7" s="99"/>
      <c r="K7" s="78"/>
      <c r="L7" s="78"/>
    </row>
    <row r="8" ht="24.0" customHeight="1">
      <c r="A8" s="78"/>
      <c r="B8" s="78"/>
      <c r="C8" s="99"/>
      <c r="D8" s="78"/>
      <c r="E8" s="78"/>
      <c r="F8" s="108"/>
      <c r="G8" s="99"/>
      <c r="H8" s="110" t="b">
        <v>0</v>
      </c>
      <c r="I8" s="108"/>
      <c r="J8" s="99"/>
      <c r="K8" s="78"/>
      <c r="L8" s="78"/>
    </row>
    <row r="9" ht="24.0" customHeight="1">
      <c r="A9" s="78"/>
      <c r="B9" s="78"/>
      <c r="C9" s="99"/>
      <c r="D9" s="78"/>
      <c r="E9" s="78"/>
      <c r="F9" s="108"/>
      <c r="G9" s="99"/>
      <c r="H9" s="110" t="b">
        <v>0</v>
      </c>
      <c r="I9" s="108"/>
      <c r="J9" s="99"/>
      <c r="K9" s="78"/>
      <c r="L9" s="78"/>
    </row>
    <row r="10" ht="24.0" customHeight="1">
      <c r="A10" s="78"/>
      <c r="B10" s="78"/>
      <c r="C10" s="99"/>
      <c r="D10" s="78"/>
      <c r="E10" s="78"/>
      <c r="F10" s="108"/>
      <c r="G10" s="99"/>
      <c r="H10" s="110" t="b">
        <v>0</v>
      </c>
      <c r="I10" s="108"/>
      <c r="J10" s="99"/>
      <c r="K10" s="78"/>
      <c r="L10" s="78"/>
    </row>
    <row r="11" ht="24.0" customHeight="1">
      <c r="A11" s="78"/>
      <c r="B11" s="78"/>
      <c r="C11" s="99"/>
      <c r="D11" s="78"/>
      <c r="E11" s="78"/>
      <c r="F11" s="108"/>
      <c r="G11" s="99"/>
      <c r="H11" s="110" t="b">
        <v>0</v>
      </c>
      <c r="I11" s="108"/>
      <c r="J11" s="99"/>
      <c r="K11" s="78"/>
      <c r="L11" s="78"/>
    </row>
    <row r="12" ht="24.0" customHeight="1">
      <c r="A12" s="78"/>
      <c r="B12" s="78"/>
      <c r="C12" s="99"/>
      <c r="D12" s="78"/>
      <c r="E12" s="78"/>
      <c r="F12" s="108"/>
      <c r="G12" s="99"/>
      <c r="H12" s="110" t="b">
        <v>0</v>
      </c>
      <c r="I12" s="108"/>
      <c r="J12" s="99"/>
      <c r="K12" s="78"/>
      <c r="L12" s="78"/>
    </row>
    <row r="13" ht="24.0" customHeight="1">
      <c r="A13" s="78"/>
      <c r="B13" s="78"/>
      <c r="C13" s="99"/>
      <c r="D13" s="78"/>
      <c r="E13" s="78"/>
      <c r="F13" s="108"/>
      <c r="G13" s="99"/>
      <c r="H13" s="110" t="b">
        <v>0</v>
      </c>
      <c r="I13" s="108"/>
      <c r="J13" s="99"/>
      <c r="K13" s="78"/>
      <c r="L13" s="78"/>
    </row>
    <row r="14" ht="24.0" customHeight="1">
      <c r="A14" s="78"/>
      <c r="B14" s="78"/>
      <c r="C14" s="99"/>
      <c r="D14" s="78"/>
      <c r="E14" s="78"/>
      <c r="F14" s="108"/>
      <c r="G14" s="99"/>
      <c r="H14" s="110" t="b">
        <v>0</v>
      </c>
      <c r="I14" s="108"/>
      <c r="J14" s="99"/>
      <c r="K14" s="78"/>
      <c r="L14" s="78"/>
    </row>
    <row r="15" ht="24.0" customHeight="1">
      <c r="A15" s="78"/>
      <c r="B15" s="78"/>
      <c r="C15" s="99"/>
      <c r="D15" s="78"/>
      <c r="E15" s="78"/>
      <c r="F15" s="108"/>
      <c r="G15" s="99"/>
      <c r="H15" s="110" t="b">
        <v>0</v>
      </c>
      <c r="I15" s="108"/>
      <c r="J15" s="99"/>
      <c r="K15" s="78"/>
      <c r="L15" s="78"/>
    </row>
    <row r="16" ht="24.0" customHeight="1">
      <c r="A16" s="78"/>
      <c r="B16" s="78"/>
      <c r="C16" s="99"/>
      <c r="D16" s="78"/>
      <c r="E16" s="78"/>
      <c r="F16" s="108"/>
      <c r="G16" s="99"/>
      <c r="H16" s="110" t="b">
        <v>0</v>
      </c>
      <c r="I16" s="108"/>
      <c r="J16" s="99"/>
      <c r="K16" s="78"/>
      <c r="L16" s="78"/>
    </row>
    <row r="17" ht="24.0" customHeight="1">
      <c r="A17" s="78"/>
      <c r="B17" s="78"/>
      <c r="C17" s="99"/>
      <c r="D17" s="78"/>
      <c r="E17" s="78"/>
      <c r="F17" s="108"/>
      <c r="G17" s="99"/>
      <c r="H17" s="110" t="b">
        <v>0</v>
      </c>
      <c r="I17" s="108"/>
      <c r="J17" s="99"/>
      <c r="K17" s="78"/>
      <c r="L17" s="78"/>
    </row>
    <row r="18" ht="24.0" customHeight="1">
      <c r="A18" s="78"/>
      <c r="B18" s="78"/>
      <c r="C18" s="99"/>
      <c r="D18" s="78"/>
      <c r="E18" s="78"/>
      <c r="F18" s="108"/>
      <c r="G18" s="99"/>
      <c r="H18" s="110" t="b">
        <v>0</v>
      </c>
      <c r="I18" s="108"/>
      <c r="J18" s="99"/>
      <c r="K18" s="78"/>
      <c r="L18" s="78"/>
    </row>
    <row r="19" ht="24.0" customHeight="1">
      <c r="A19" s="78"/>
      <c r="B19" s="78"/>
      <c r="C19" s="99"/>
      <c r="D19" s="78"/>
      <c r="E19" s="78"/>
      <c r="F19" s="108"/>
      <c r="G19" s="99"/>
      <c r="H19" s="110" t="b">
        <v>0</v>
      </c>
      <c r="I19" s="108"/>
      <c r="J19" s="99"/>
      <c r="K19" s="78"/>
      <c r="L19" s="78"/>
    </row>
    <row r="20" ht="24.0" customHeight="1">
      <c r="A20" s="78"/>
      <c r="B20" s="78"/>
      <c r="C20" s="99"/>
      <c r="D20" s="78"/>
      <c r="E20" s="78"/>
      <c r="F20" s="108"/>
      <c r="G20" s="99"/>
      <c r="H20" s="110" t="b">
        <v>0</v>
      </c>
      <c r="I20" s="108"/>
      <c r="J20" s="99"/>
      <c r="K20" s="78"/>
      <c r="L20" s="78"/>
    </row>
    <row r="21" ht="24.0" customHeight="1">
      <c r="A21" s="78"/>
      <c r="B21" s="78"/>
      <c r="C21" s="99"/>
      <c r="D21" s="78"/>
      <c r="E21" s="78"/>
      <c r="F21" s="108"/>
      <c r="G21" s="99"/>
      <c r="H21" s="110" t="b">
        <v>0</v>
      </c>
      <c r="I21" s="108"/>
      <c r="J21" s="99"/>
      <c r="K21" s="78"/>
      <c r="L21" s="78"/>
    </row>
    <row r="22" ht="24.0" customHeight="1">
      <c r="A22" s="78"/>
      <c r="B22" s="78"/>
      <c r="C22" s="99"/>
      <c r="D22" s="78"/>
      <c r="E22" s="78"/>
      <c r="F22" s="108"/>
      <c r="G22" s="99"/>
      <c r="H22" s="110" t="b">
        <v>0</v>
      </c>
      <c r="I22" s="108"/>
      <c r="J22" s="99"/>
      <c r="K22" s="78"/>
      <c r="L22" s="78"/>
    </row>
    <row r="23" ht="24.0" customHeight="1">
      <c r="A23" s="78"/>
      <c r="B23" s="78"/>
      <c r="C23" s="99"/>
      <c r="D23" s="78"/>
      <c r="E23" s="78"/>
      <c r="F23" s="108"/>
      <c r="G23" s="99"/>
      <c r="H23" s="110" t="b">
        <v>0</v>
      </c>
      <c r="I23" s="108"/>
      <c r="J23" s="99"/>
      <c r="K23" s="78"/>
      <c r="L23" s="78"/>
    </row>
    <row r="24" ht="24.0" customHeight="1">
      <c r="A24" s="78"/>
      <c r="B24" s="78"/>
      <c r="C24" s="99"/>
      <c r="D24" s="78"/>
      <c r="E24" s="78"/>
      <c r="F24" s="108"/>
      <c r="G24" s="99"/>
      <c r="H24" s="110" t="b">
        <v>0</v>
      </c>
      <c r="I24" s="108"/>
      <c r="J24" s="99"/>
      <c r="K24" s="78"/>
      <c r="L24" s="78"/>
    </row>
    <row r="25" ht="24.0" customHeight="1">
      <c r="A25" s="78"/>
      <c r="B25" s="78"/>
      <c r="C25" s="99"/>
      <c r="D25" s="78"/>
      <c r="E25" s="78"/>
      <c r="F25" s="108"/>
      <c r="G25" s="99"/>
      <c r="H25" s="110" t="b">
        <v>0</v>
      </c>
      <c r="I25" s="108"/>
      <c r="J25" s="99"/>
      <c r="K25" s="78"/>
      <c r="L25" s="78"/>
    </row>
    <row r="26" ht="24.0" customHeight="1">
      <c r="A26" s="78"/>
      <c r="B26" s="78"/>
      <c r="C26" s="99"/>
      <c r="D26" s="78"/>
      <c r="E26" s="78"/>
      <c r="F26" s="108"/>
      <c r="G26" s="99"/>
      <c r="H26" s="110" t="b">
        <v>0</v>
      </c>
      <c r="I26" s="108"/>
      <c r="J26" s="99"/>
      <c r="K26" s="78"/>
      <c r="L26" s="78"/>
    </row>
    <row r="27" ht="24.0" customHeight="1">
      <c r="A27" s="78"/>
      <c r="B27" s="78"/>
      <c r="C27" s="99"/>
      <c r="D27" s="78"/>
      <c r="E27" s="78"/>
      <c r="F27" s="108"/>
      <c r="G27" s="99"/>
      <c r="H27" s="110" t="b">
        <v>0</v>
      </c>
      <c r="I27" s="108"/>
      <c r="J27" s="99"/>
      <c r="K27" s="78"/>
      <c r="L27" s="78"/>
    </row>
    <row r="28" ht="24.0" customHeight="1">
      <c r="A28" s="78"/>
      <c r="B28" s="78"/>
      <c r="C28" s="99"/>
      <c r="D28" s="78"/>
      <c r="E28" s="78"/>
      <c r="F28" s="108"/>
      <c r="G28" s="99"/>
      <c r="H28" s="110" t="b">
        <v>0</v>
      </c>
      <c r="I28" s="108"/>
      <c r="J28" s="99"/>
      <c r="K28" s="78"/>
      <c r="L28" s="78"/>
    </row>
    <row r="29" ht="24.0" customHeight="1">
      <c r="A29" s="78"/>
      <c r="B29" s="78"/>
      <c r="C29" s="99"/>
      <c r="D29" s="78"/>
      <c r="E29" s="78"/>
      <c r="F29" s="108"/>
      <c r="G29" s="99"/>
      <c r="H29" s="110" t="b">
        <v>0</v>
      </c>
      <c r="I29" s="108"/>
      <c r="J29" s="99"/>
      <c r="K29" s="78"/>
      <c r="L29" s="78"/>
    </row>
    <row r="30" ht="24.0" customHeight="1">
      <c r="A30" s="78"/>
      <c r="B30" s="78"/>
      <c r="C30" s="99"/>
      <c r="D30" s="78"/>
      <c r="E30" s="78"/>
      <c r="F30" s="108"/>
      <c r="G30" s="99"/>
      <c r="H30" s="110" t="b">
        <v>0</v>
      </c>
      <c r="I30" s="108"/>
      <c r="J30" s="99"/>
      <c r="K30" s="78"/>
      <c r="L30" s="78"/>
    </row>
    <row r="31" ht="24.0" customHeight="1">
      <c r="A31" s="78"/>
      <c r="B31" s="78"/>
      <c r="C31" s="99"/>
      <c r="D31" s="78"/>
      <c r="E31" s="78"/>
      <c r="F31" s="108"/>
      <c r="G31" s="99"/>
      <c r="H31" s="110" t="b">
        <v>0</v>
      </c>
      <c r="I31" s="108"/>
      <c r="J31" s="99"/>
      <c r="K31" s="78"/>
      <c r="L31" s="78"/>
    </row>
    <row r="32" ht="24.0" customHeight="1">
      <c r="A32" s="78"/>
      <c r="B32" s="78"/>
      <c r="C32" s="99"/>
      <c r="D32" s="78"/>
      <c r="E32" s="78"/>
      <c r="F32" s="108"/>
      <c r="G32" s="99"/>
      <c r="H32" s="110" t="b">
        <v>0</v>
      </c>
      <c r="I32" s="108"/>
      <c r="J32" s="99"/>
      <c r="K32" s="78"/>
      <c r="L32" s="78"/>
    </row>
    <row r="33" ht="24.0" customHeight="1">
      <c r="A33" s="78"/>
      <c r="B33" s="78"/>
      <c r="C33" s="99"/>
      <c r="D33" s="78"/>
      <c r="E33" s="78"/>
      <c r="F33" s="108"/>
      <c r="G33" s="99"/>
      <c r="H33" s="110" t="b">
        <v>0</v>
      </c>
      <c r="I33" s="108"/>
      <c r="J33" s="99"/>
      <c r="K33" s="78"/>
      <c r="L33" s="78"/>
    </row>
    <row r="34" ht="24.0" customHeight="1">
      <c r="A34" s="78"/>
      <c r="B34" s="78"/>
      <c r="C34" s="99"/>
      <c r="D34" s="78"/>
      <c r="E34" s="78"/>
      <c r="F34" s="108"/>
      <c r="G34" s="99"/>
      <c r="H34" s="110" t="b">
        <v>0</v>
      </c>
      <c r="I34" s="108"/>
      <c r="J34" s="99"/>
      <c r="K34" s="78"/>
      <c r="L34" s="78"/>
    </row>
    <row r="35" ht="24.0" customHeight="1">
      <c r="A35" s="78"/>
      <c r="B35" s="78"/>
      <c r="C35" s="99"/>
      <c r="D35" s="78"/>
      <c r="E35" s="78"/>
      <c r="F35" s="108"/>
      <c r="G35" s="99"/>
      <c r="H35" s="110" t="b">
        <v>0</v>
      </c>
      <c r="I35" s="108"/>
      <c r="J35" s="99"/>
      <c r="K35" s="78"/>
      <c r="L35" s="78"/>
    </row>
    <row r="36" ht="24.0" customHeight="1">
      <c r="A36" s="78"/>
      <c r="B36" s="78"/>
      <c r="C36" s="99"/>
      <c r="D36" s="78"/>
      <c r="E36" s="78"/>
      <c r="F36" s="108"/>
      <c r="G36" s="99"/>
      <c r="H36" s="110" t="b">
        <v>0</v>
      </c>
      <c r="I36" s="108"/>
      <c r="J36" s="99"/>
      <c r="K36" s="78"/>
      <c r="L36" s="78"/>
    </row>
    <row r="37" ht="24.0" customHeight="1">
      <c r="A37" s="78"/>
      <c r="B37" s="78"/>
      <c r="C37" s="99"/>
      <c r="D37" s="78"/>
      <c r="E37" s="78"/>
      <c r="F37" s="108"/>
      <c r="G37" s="99"/>
      <c r="H37" s="110" t="b">
        <v>0</v>
      </c>
      <c r="I37" s="108"/>
      <c r="J37" s="99"/>
      <c r="K37" s="78"/>
      <c r="L37" s="78"/>
    </row>
    <row r="38" ht="24.0" customHeight="1">
      <c r="A38" s="78"/>
      <c r="B38" s="78"/>
      <c r="C38" s="99"/>
      <c r="D38" s="78"/>
      <c r="E38" s="78"/>
      <c r="F38" s="108"/>
      <c r="G38" s="99"/>
      <c r="H38" s="110" t="b">
        <v>0</v>
      </c>
      <c r="I38" s="108"/>
      <c r="J38" s="99"/>
      <c r="K38" s="78"/>
      <c r="L38" s="78"/>
    </row>
    <row r="39" ht="24.0" customHeight="1">
      <c r="A39" s="78"/>
      <c r="B39" s="78"/>
      <c r="C39" s="99"/>
      <c r="D39" s="78"/>
      <c r="E39" s="78"/>
      <c r="F39" s="108"/>
      <c r="G39" s="99"/>
      <c r="H39" s="110" t="b">
        <v>0</v>
      </c>
      <c r="I39" s="108"/>
      <c r="J39" s="99"/>
      <c r="K39" s="78"/>
      <c r="L39" s="78"/>
    </row>
    <row r="40" ht="24.0" customHeight="1">
      <c r="A40" s="78"/>
      <c r="B40" s="78"/>
      <c r="C40" s="99"/>
      <c r="D40" s="78"/>
      <c r="E40" s="78"/>
      <c r="F40" s="108"/>
      <c r="G40" s="99"/>
      <c r="H40" s="110" t="b">
        <v>0</v>
      </c>
      <c r="I40" s="108"/>
      <c r="J40" s="99"/>
      <c r="K40" s="78"/>
      <c r="L40" s="78"/>
    </row>
    <row r="41" ht="24.0" customHeight="1">
      <c r="A41" s="78"/>
      <c r="B41" s="78"/>
      <c r="C41" s="99"/>
      <c r="D41" s="78"/>
      <c r="E41" s="78"/>
      <c r="F41" s="108"/>
      <c r="G41" s="99"/>
      <c r="H41" s="110" t="b">
        <v>0</v>
      </c>
      <c r="I41" s="108"/>
      <c r="J41" s="99"/>
      <c r="K41" s="78"/>
      <c r="L41" s="78"/>
    </row>
    <row r="42" ht="24.0" customHeight="1">
      <c r="A42" s="78"/>
      <c r="B42" s="78"/>
      <c r="C42" s="99"/>
      <c r="D42" s="78"/>
      <c r="E42" s="78"/>
      <c r="F42" s="108"/>
      <c r="G42" s="99"/>
      <c r="H42" s="110" t="b">
        <v>0</v>
      </c>
      <c r="I42" s="108"/>
      <c r="J42" s="99"/>
      <c r="K42" s="78"/>
      <c r="L42" s="78"/>
    </row>
    <row r="43" ht="24.0" customHeight="1">
      <c r="A43" s="78"/>
      <c r="B43" s="78"/>
      <c r="C43" s="99"/>
      <c r="D43" s="78"/>
      <c r="E43" s="78"/>
      <c r="F43" s="108"/>
      <c r="G43" s="99"/>
      <c r="H43" s="110" t="b">
        <v>0</v>
      </c>
      <c r="I43" s="108"/>
      <c r="J43" s="99"/>
      <c r="K43" s="78"/>
      <c r="L43" s="78"/>
    </row>
    <row r="44" ht="24.0" customHeight="1">
      <c r="A44" s="78"/>
      <c r="B44" s="78"/>
      <c r="C44" s="99"/>
      <c r="D44" s="78"/>
      <c r="E44" s="78"/>
      <c r="F44" s="108"/>
      <c r="G44" s="99"/>
      <c r="H44" s="110" t="b">
        <v>0</v>
      </c>
      <c r="I44" s="108"/>
      <c r="J44" s="99"/>
      <c r="K44" s="78"/>
      <c r="L44" s="78"/>
    </row>
    <row r="45" ht="24.0" customHeight="1">
      <c r="A45" s="78"/>
      <c r="B45" s="78"/>
      <c r="C45" s="99"/>
      <c r="D45" s="78"/>
      <c r="E45" s="78"/>
      <c r="F45" s="108"/>
      <c r="G45" s="99"/>
      <c r="H45" s="110" t="b">
        <v>0</v>
      </c>
      <c r="I45" s="108"/>
      <c r="J45" s="99"/>
      <c r="K45" s="78"/>
      <c r="L45" s="78"/>
    </row>
    <row r="46" ht="24.0" customHeight="1">
      <c r="A46" s="78"/>
      <c r="B46" s="78"/>
      <c r="C46" s="99"/>
      <c r="D46" s="78"/>
      <c r="E46" s="78"/>
      <c r="F46" s="108"/>
      <c r="G46" s="99"/>
      <c r="H46" s="110" t="b">
        <v>0</v>
      </c>
      <c r="I46" s="108"/>
      <c r="J46" s="99"/>
      <c r="K46" s="78"/>
      <c r="L46" s="78"/>
    </row>
    <row r="47" ht="24.0" customHeight="1">
      <c r="A47" s="78"/>
      <c r="B47" s="78"/>
      <c r="C47" s="99"/>
      <c r="D47" s="78"/>
      <c r="E47" s="78"/>
      <c r="F47" s="108"/>
      <c r="G47" s="99"/>
      <c r="H47" s="110" t="b">
        <v>0</v>
      </c>
      <c r="I47" s="108"/>
      <c r="J47" s="99"/>
      <c r="K47" s="78"/>
      <c r="L47" s="78"/>
    </row>
    <row r="48" ht="24.0" customHeight="1">
      <c r="A48" s="78"/>
      <c r="B48" s="78"/>
      <c r="C48" s="99"/>
      <c r="D48" s="78"/>
      <c r="E48" s="78"/>
      <c r="F48" s="108"/>
      <c r="G48" s="99"/>
      <c r="H48" s="110" t="b">
        <v>0</v>
      </c>
      <c r="I48" s="108"/>
      <c r="J48" s="99"/>
      <c r="K48" s="78"/>
      <c r="L48" s="78"/>
    </row>
    <row r="49" ht="24.0" customHeight="1">
      <c r="A49" s="78"/>
      <c r="B49" s="78"/>
      <c r="C49" s="99"/>
      <c r="D49" s="78"/>
      <c r="E49" s="78"/>
      <c r="F49" s="108"/>
      <c r="G49" s="99"/>
      <c r="H49" s="110" t="b">
        <v>0</v>
      </c>
      <c r="I49" s="108"/>
      <c r="J49" s="99"/>
      <c r="K49" s="78"/>
      <c r="L49" s="78"/>
    </row>
    <row r="50" ht="24.0" customHeight="1">
      <c r="A50" s="78"/>
      <c r="B50" s="78"/>
      <c r="C50" s="99"/>
      <c r="D50" s="78"/>
      <c r="E50" s="78"/>
      <c r="F50" s="108"/>
      <c r="G50" s="99"/>
      <c r="H50" s="110" t="b">
        <v>0</v>
      </c>
      <c r="I50" s="108"/>
      <c r="J50" s="99"/>
      <c r="K50" s="78"/>
      <c r="L50" s="78"/>
    </row>
    <row r="51" ht="24.0" customHeight="1">
      <c r="A51" s="78"/>
      <c r="B51" s="78"/>
      <c r="C51" s="99"/>
      <c r="D51" s="78"/>
      <c r="E51" s="78"/>
      <c r="F51" s="108"/>
      <c r="G51" s="99"/>
      <c r="H51" s="110" t="b">
        <v>0</v>
      </c>
      <c r="I51" s="108"/>
      <c r="J51" s="99"/>
      <c r="K51" s="78"/>
      <c r="L51" s="78"/>
    </row>
    <row r="52" ht="24.0" customHeight="1">
      <c r="A52" s="78"/>
      <c r="B52" s="78"/>
      <c r="C52" s="99"/>
      <c r="D52" s="78"/>
      <c r="E52" s="78"/>
      <c r="F52" s="108"/>
      <c r="G52" s="99"/>
      <c r="H52" s="110" t="b">
        <v>0</v>
      </c>
      <c r="I52" s="108"/>
      <c r="J52" s="99"/>
      <c r="K52" s="78"/>
      <c r="L52" s="78"/>
    </row>
    <row r="53" ht="24.0" customHeight="1">
      <c r="A53" s="78"/>
      <c r="B53" s="78"/>
      <c r="C53" s="99"/>
      <c r="D53" s="78"/>
      <c r="E53" s="78"/>
      <c r="F53" s="108"/>
      <c r="G53" s="99"/>
      <c r="H53" s="110" t="b">
        <v>0</v>
      </c>
      <c r="I53" s="108"/>
      <c r="J53" s="99"/>
      <c r="K53" s="78"/>
      <c r="L53" s="78"/>
    </row>
    <row r="54" ht="24.0" customHeight="1">
      <c r="A54" s="78"/>
      <c r="B54" s="78"/>
      <c r="C54" s="99"/>
      <c r="D54" s="78"/>
      <c r="E54" s="78"/>
      <c r="F54" s="108"/>
      <c r="G54" s="99"/>
      <c r="H54" s="110" t="b">
        <v>0</v>
      </c>
      <c r="I54" s="108"/>
      <c r="J54" s="99"/>
      <c r="K54" s="78"/>
      <c r="L54" s="78"/>
    </row>
    <row r="55" ht="24.0" customHeight="1">
      <c r="A55" s="78"/>
      <c r="B55" s="78"/>
      <c r="C55" s="99"/>
      <c r="D55" s="78"/>
      <c r="E55" s="78"/>
      <c r="F55" s="108"/>
      <c r="G55" s="99"/>
      <c r="H55" s="110" t="b">
        <v>0</v>
      </c>
      <c r="I55" s="108"/>
      <c r="J55" s="99"/>
      <c r="K55" s="78"/>
      <c r="L55" s="78"/>
    </row>
    <row r="56" ht="24.0" customHeight="1">
      <c r="A56" s="78"/>
      <c r="B56" s="78"/>
      <c r="C56" s="99"/>
      <c r="D56" s="78"/>
      <c r="E56" s="78"/>
      <c r="F56" s="108"/>
      <c r="G56" s="99"/>
      <c r="H56" s="110" t="b">
        <v>0</v>
      </c>
      <c r="I56" s="108"/>
      <c r="J56" s="99"/>
      <c r="K56" s="78"/>
      <c r="L56" s="78"/>
    </row>
    <row r="57" ht="24.0" customHeight="1">
      <c r="A57" s="78"/>
      <c r="B57" s="78"/>
      <c r="C57" s="99"/>
      <c r="D57" s="78"/>
      <c r="E57" s="78"/>
      <c r="F57" s="108"/>
      <c r="G57" s="99"/>
      <c r="H57" s="110" t="b">
        <v>0</v>
      </c>
      <c r="I57" s="108"/>
      <c r="J57" s="99"/>
      <c r="K57" s="78"/>
      <c r="L57" s="78"/>
    </row>
    <row r="58" ht="24.0" customHeight="1">
      <c r="A58" s="78"/>
      <c r="B58" s="78"/>
      <c r="C58" s="99"/>
      <c r="D58" s="78"/>
      <c r="E58" s="78"/>
      <c r="F58" s="108"/>
      <c r="G58" s="99"/>
      <c r="H58" s="110" t="b">
        <v>0</v>
      </c>
      <c r="I58" s="108"/>
      <c r="J58" s="99"/>
      <c r="K58" s="78"/>
      <c r="L58" s="78"/>
    </row>
    <row r="59" ht="24.0" customHeight="1">
      <c r="A59" s="78"/>
      <c r="B59" s="78"/>
      <c r="C59" s="99"/>
      <c r="D59" s="78"/>
      <c r="E59" s="78"/>
      <c r="F59" s="108"/>
      <c r="G59" s="99"/>
      <c r="H59" s="110" t="b">
        <v>0</v>
      </c>
      <c r="I59" s="108"/>
      <c r="J59" s="99"/>
      <c r="K59" s="78"/>
      <c r="L59" s="78"/>
    </row>
    <row r="60" ht="24.0" customHeight="1">
      <c r="A60" s="78"/>
      <c r="B60" s="78"/>
      <c r="C60" s="99"/>
      <c r="D60" s="78"/>
      <c r="E60" s="78"/>
      <c r="F60" s="108"/>
      <c r="G60" s="99"/>
      <c r="H60" s="110" t="b">
        <v>0</v>
      </c>
      <c r="I60" s="108"/>
      <c r="J60" s="99"/>
      <c r="K60" s="78"/>
      <c r="L60" s="78"/>
    </row>
    <row r="61" ht="24.0" customHeight="1">
      <c r="A61" s="78"/>
      <c r="B61" s="78"/>
      <c r="C61" s="99"/>
      <c r="D61" s="78"/>
      <c r="E61" s="78"/>
      <c r="F61" s="108"/>
      <c r="G61" s="99"/>
      <c r="H61" s="110" t="b">
        <v>0</v>
      </c>
      <c r="I61" s="108"/>
      <c r="J61" s="99"/>
      <c r="K61" s="78"/>
      <c r="L61" s="78"/>
    </row>
    <row r="62" ht="24.0" customHeight="1">
      <c r="A62" s="78"/>
      <c r="B62" s="78"/>
      <c r="C62" s="99"/>
      <c r="D62" s="78"/>
      <c r="E62" s="78"/>
      <c r="F62" s="108"/>
      <c r="G62" s="99"/>
      <c r="H62" s="110" t="b">
        <v>0</v>
      </c>
      <c r="I62" s="108"/>
      <c r="J62" s="99"/>
      <c r="K62" s="78"/>
      <c r="L62" s="78"/>
    </row>
    <row r="63" ht="24.0" customHeight="1">
      <c r="A63" s="78"/>
      <c r="B63" s="78"/>
      <c r="C63" s="99"/>
      <c r="D63" s="78"/>
      <c r="E63" s="78"/>
      <c r="F63" s="108"/>
      <c r="G63" s="99"/>
      <c r="H63" s="110" t="b">
        <v>0</v>
      </c>
      <c r="I63" s="108"/>
      <c r="J63" s="99"/>
      <c r="K63" s="78"/>
      <c r="L63" s="78"/>
    </row>
    <row r="64" ht="24.0" customHeight="1">
      <c r="A64" s="78"/>
      <c r="B64" s="78"/>
      <c r="C64" s="99"/>
      <c r="D64" s="78"/>
      <c r="E64" s="78"/>
      <c r="F64" s="108"/>
      <c r="G64" s="99"/>
      <c r="H64" s="110" t="b">
        <v>0</v>
      </c>
      <c r="I64" s="108"/>
      <c r="J64" s="99"/>
      <c r="K64" s="78"/>
      <c r="L64" s="78"/>
    </row>
    <row r="65" ht="24.0" customHeight="1">
      <c r="A65" s="78"/>
      <c r="B65" s="78"/>
      <c r="C65" s="99"/>
      <c r="D65" s="78"/>
      <c r="E65" s="78"/>
      <c r="F65" s="108"/>
      <c r="G65" s="99"/>
      <c r="H65" s="110" t="b">
        <v>0</v>
      </c>
      <c r="I65" s="108"/>
      <c r="J65" s="99"/>
      <c r="K65" s="78"/>
      <c r="L65" s="78"/>
    </row>
    <row r="66" ht="24.0" customHeight="1">
      <c r="A66" s="78"/>
      <c r="B66" s="78"/>
      <c r="C66" s="99"/>
      <c r="D66" s="78"/>
      <c r="E66" s="78"/>
      <c r="F66" s="108"/>
      <c r="G66" s="99"/>
      <c r="H66" s="110" t="b">
        <v>0</v>
      </c>
      <c r="I66" s="108"/>
      <c r="J66" s="99"/>
      <c r="K66" s="78"/>
      <c r="L66" s="78"/>
    </row>
    <row r="67" ht="24.0" customHeight="1">
      <c r="A67" s="78"/>
      <c r="B67" s="78"/>
      <c r="C67" s="99"/>
      <c r="D67" s="78"/>
      <c r="E67" s="78"/>
      <c r="F67" s="108"/>
      <c r="G67" s="99"/>
      <c r="H67" s="110" t="b">
        <v>0</v>
      </c>
      <c r="I67" s="108"/>
      <c r="J67" s="99"/>
      <c r="K67" s="78"/>
      <c r="L67" s="78"/>
    </row>
    <row r="68" ht="24.0" customHeight="1">
      <c r="A68" s="78"/>
      <c r="B68" s="78"/>
      <c r="C68" s="99"/>
      <c r="D68" s="78"/>
      <c r="E68" s="78"/>
      <c r="F68" s="108"/>
      <c r="G68" s="99"/>
      <c r="H68" s="110" t="b">
        <v>0</v>
      </c>
      <c r="I68" s="108"/>
      <c r="J68" s="99"/>
      <c r="K68" s="78"/>
      <c r="L68" s="78"/>
    </row>
    <row r="69" ht="24.0" customHeight="1">
      <c r="A69" s="78"/>
      <c r="B69" s="78"/>
      <c r="C69" s="99"/>
      <c r="D69" s="78"/>
      <c r="E69" s="78"/>
      <c r="F69" s="108"/>
      <c r="G69" s="99"/>
      <c r="H69" s="110" t="b">
        <v>0</v>
      </c>
      <c r="I69" s="108"/>
      <c r="J69" s="99"/>
      <c r="K69" s="78"/>
      <c r="L69" s="78"/>
    </row>
    <row r="70" ht="24.0" customHeight="1">
      <c r="A70" s="78"/>
      <c r="B70" s="78"/>
      <c r="C70" s="99"/>
      <c r="D70" s="78"/>
      <c r="E70" s="78"/>
      <c r="F70" s="108"/>
      <c r="G70" s="99"/>
      <c r="H70" s="110" t="b">
        <v>0</v>
      </c>
      <c r="I70" s="108"/>
      <c r="J70" s="99"/>
      <c r="K70" s="78"/>
      <c r="L70" s="78"/>
    </row>
    <row r="71" ht="24.0" customHeight="1">
      <c r="A71" s="78"/>
      <c r="B71" s="78"/>
      <c r="C71" s="99"/>
      <c r="D71" s="78"/>
      <c r="E71" s="78"/>
      <c r="F71" s="108"/>
      <c r="G71" s="99"/>
      <c r="H71" s="110" t="b">
        <v>0</v>
      </c>
      <c r="I71" s="108"/>
      <c r="J71" s="99"/>
      <c r="K71" s="78"/>
      <c r="L71" s="78"/>
    </row>
    <row r="72" ht="24.0" customHeight="1">
      <c r="A72" s="78"/>
      <c r="B72" s="78"/>
      <c r="C72" s="99"/>
      <c r="D72" s="78"/>
      <c r="E72" s="78"/>
      <c r="F72" s="108"/>
      <c r="G72" s="99"/>
      <c r="H72" s="110" t="b">
        <v>0</v>
      </c>
      <c r="I72" s="108"/>
      <c r="J72" s="99"/>
      <c r="K72" s="78"/>
      <c r="L72" s="78"/>
    </row>
    <row r="73" ht="24.0" customHeight="1">
      <c r="A73" s="78"/>
      <c r="B73" s="78"/>
      <c r="C73" s="99"/>
      <c r="D73" s="78"/>
      <c r="E73" s="78"/>
      <c r="F73" s="108"/>
      <c r="G73" s="99"/>
      <c r="H73" s="110" t="b">
        <v>0</v>
      </c>
      <c r="I73" s="108"/>
      <c r="J73" s="99"/>
      <c r="K73" s="78"/>
      <c r="L73" s="78"/>
    </row>
    <row r="74" ht="24.0" customHeight="1">
      <c r="A74" s="78"/>
      <c r="B74" s="78"/>
      <c r="C74" s="99"/>
      <c r="D74" s="78"/>
      <c r="E74" s="78"/>
      <c r="F74" s="108"/>
      <c r="G74" s="99"/>
      <c r="H74" s="110" t="b">
        <v>0</v>
      </c>
      <c r="I74" s="108"/>
      <c r="J74" s="99"/>
      <c r="K74" s="78"/>
      <c r="L74" s="78"/>
    </row>
    <row r="75" ht="24.0" customHeight="1">
      <c r="A75" s="78"/>
      <c r="B75" s="78"/>
      <c r="C75" s="99"/>
      <c r="D75" s="78"/>
      <c r="E75" s="78"/>
      <c r="F75" s="108"/>
      <c r="G75" s="99"/>
      <c r="H75" s="110" t="b">
        <v>0</v>
      </c>
      <c r="I75" s="108"/>
      <c r="J75" s="99"/>
      <c r="K75" s="78"/>
      <c r="L75" s="78"/>
    </row>
    <row r="76" ht="24.0" customHeight="1">
      <c r="A76" s="78"/>
      <c r="B76" s="78"/>
      <c r="C76" s="99"/>
      <c r="D76" s="78"/>
      <c r="E76" s="78"/>
      <c r="F76" s="108"/>
      <c r="G76" s="99"/>
      <c r="H76" s="110" t="b">
        <v>0</v>
      </c>
      <c r="I76" s="108"/>
      <c r="J76" s="99"/>
      <c r="K76" s="78"/>
      <c r="L76" s="78"/>
    </row>
    <row r="77" ht="24.0" customHeight="1">
      <c r="A77" s="78"/>
      <c r="B77" s="78"/>
      <c r="C77" s="99"/>
      <c r="D77" s="78"/>
      <c r="E77" s="78"/>
      <c r="F77" s="108"/>
      <c r="G77" s="99"/>
      <c r="H77" s="110" t="b">
        <v>0</v>
      </c>
      <c r="I77" s="108"/>
      <c r="J77" s="99"/>
      <c r="K77" s="78"/>
      <c r="L77" s="78"/>
    </row>
    <row r="78" ht="24.0" customHeight="1">
      <c r="A78" s="78"/>
      <c r="B78" s="78"/>
      <c r="C78" s="99"/>
      <c r="D78" s="78"/>
      <c r="E78" s="78"/>
      <c r="F78" s="108"/>
      <c r="G78" s="99"/>
      <c r="H78" s="110" t="b">
        <v>0</v>
      </c>
      <c r="I78" s="108"/>
      <c r="J78" s="99"/>
      <c r="K78" s="78"/>
      <c r="L78" s="78"/>
    </row>
    <row r="79" ht="24.0" customHeight="1">
      <c r="A79" s="78"/>
      <c r="B79" s="78"/>
      <c r="C79" s="99"/>
      <c r="D79" s="78"/>
      <c r="E79" s="78"/>
      <c r="F79" s="108"/>
      <c r="G79" s="99"/>
      <c r="H79" s="110" t="b">
        <v>0</v>
      </c>
      <c r="I79" s="108"/>
      <c r="J79" s="99"/>
      <c r="K79" s="78"/>
      <c r="L79" s="78"/>
    </row>
    <row r="80" ht="24.0" customHeight="1">
      <c r="A80" s="78"/>
      <c r="B80" s="78"/>
      <c r="C80" s="99"/>
      <c r="D80" s="78"/>
      <c r="E80" s="78"/>
      <c r="F80" s="108"/>
      <c r="G80" s="99"/>
      <c r="H80" s="110" t="b">
        <v>0</v>
      </c>
      <c r="I80" s="108"/>
      <c r="J80" s="99"/>
      <c r="K80" s="78"/>
      <c r="L80" s="78"/>
    </row>
    <row r="81" ht="24.0" customHeight="1">
      <c r="A81" s="78"/>
      <c r="B81" s="78"/>
      <c r="C81" s="99"/>
      <c r="D81" s="78"/>
      <c r="E81" s="78"/>
      <c r="F81" s="108"/>
      <c r="G81" s="99"/>
      <c r="H81" s="110" t="b">
        <v>0</v>
      </c>
      <c r="I81" s="108"/>
      <c r="J81" s="99"/>
      <c r="K81" s="78"/>
      <c r="L81" s="78"/>
    </row>
    <row r="82" ht="24.0" customHeight="1">
      <c r="A82" s="78"/>
      <c r="B82" s="78"/>
      <c r="C82" s="99"/>
      <c r="D82" s="78"/>
      <c r="E82" s="78"/>
      <c r="F82" s="108"/>
      <c r="G82" s="99"/>
      <c r="H82" s="110" t="b">
        <v>0</v>
      </c>
      <c r="I82" s="108"/>
      <c r="J82" s="99"/>
      <c r="K82" s="78"/>
      <c r="L82" s="78"/>
    </row>
    <row r="83" ht="24.0" customHeight="1">
      <c r="A83" s="78"/>
      <c r="B83" s="78"/>
      <c r="C83" s="99"/>
      <c r="D83" s="78"/>
      <c r="E83" s="78"/>
      <c r="F83" s="108"/>
      <c r="G83" s="99"/>
      <c r="H83" s="110" t="b">
        <v>0</v>
      </c>
      <c r="I83" s="108"/>
      <c r="J83" s="99"/>
      <c r="K83" s="78"/>
      <c r="L83" s="78"/>
    </row>
    <row r="84" ht="24.0" customHeight="1">
      <c r="A84" s="78"/>
      <c r="B84" s="78"/>
      <c r="C84" s="99"/>
      <c r="D84" s="78"/>
      <c r="E84" s="78"/>
      <c r="F84" s="108"/>
      <c r="G84" s="99"/>
      <c r="H84" s="110" t="b">
        <v>0</v>
      </c>
      <c r="I84" s="108"/>
      <c r="J84" s="99"/>
      <c r="K84" s="78"/>
      <c r="L84" s="78"/>
    </row>
    <row r="85" ht="24.0" customHeight="1">
      <c r="A85" s="78"/>
      <c r="B85" s="78"/>
      <c r="C85" s="99"/>
      <c r="D85" s="78"/>
      <c r="E85" s="78"/>
      <c r="F85" s="108"/>
      <c r="G85" s="99"/>
      <c r="H85" s="110" t="b">
        <v>0</v>
      </c>
      <c r="I85" s="108"/>
      <c r="J85" s="99"/>
      <c r="K85" s="78"/>
      <c r="L85" s="78"/>
    </row>
    <row r="86" ht="24.0" customHeight="1">
      <c r="A86" s="78"/>
      <c r="B86" s="78"/>
      <c r="C86" s="99"/>
      <c r="D86" s="78"/>
      <c r="E86" s="78"/>
      <c r="F86" s="108"/>
      <c r="G86" s="99"/>
      <c r="H86" s="110" t="b">
        <v>0</v>
      </c>
      <c r="I86" s="108"/>
      <c r="J86" s="99"/>
      <c r="K86" s="78"/>
      <c r="L86" s="78"/>
    </row>
    <row r="87" ht="24.0" customHeight="1">
      <c r="A87" s="78"/>
      <c r="B87" s="78"/>
      <c r="C87" s="99"/>
      <c r="D87" s="78"/>
      <c r="E87" s="78"/>
      <c r="F87" s="108"/>
      <c r="G87" s="99"/>
      <c r="H87" s="110" t="b">
        <v>0</v>
      </c>
      <c r="I87" s="108"/>
      <c r="J87" s="99"/>
      <c r="K87" s="78"/>
      <c r="L87" s="78"/>
    </row>
    <row r="88" ht="24.0" customHeight="1">
      <c r="A88" s="78"/>
      <c r="B88" s="78"/>
      <c r="C88" s="99"/>
      <c r="D88" s="78"/>
      <c r="E88" s="78"/>
      <c r="F88" s="108"/>
      <c r="G88" s="99"/>
      <c r="H88" s="110" t="b">
        <v>0</v>
      </c>
      <c r="I88" s="108"/>
      <c r="J88" s="99"/>
      <c r="K88" s="78"/>
      <c r="L88" s="78"/>
    </row>
    <row r="89" ht="24.0" customHeight="1">
      <c r="A89" s="78"/>
      <c r="B89" s="78"/>
      <c r="C89" s="99"/>
      <c r="D89" s="78"/>
      <c r="E89" s="78"/>
      <c r="F89" s="108"/>
      <c r="G89" s="99"/>
      <c r="H89" s="110" t="b">
        <v>0</v>
      </c>
      <c r="I89" s="108"/>
      <c r="J89" s="99"/>
      <c r="K89" s="78"/>
      <c r="L89" s="78"/>
    </row>
    <row r="90" ht="24.0" customHeight="1">
      <c r="A90" s="78"/>
      <c r="B90" s="78"/>
      <c r="C90" s="99"/>
      <c r="D90" s="78"/>
      <c r="E90" s="78"/>
      <c r="F90" s="108"/>
      <c r="G90" s="99"/>
      <c r="H90" s="110" t="b">
        <v>0</v>
      </c>
      <c r="I90" s="108"/>
      <c r="J90" s="99"/>
      <c r="K90" s="78"/>
      <c r="L90" s="78"/>
    </row>
    <row r="91" ht="24.0" customHeight="1">
      <c r="A91" s="78"/>
      <c r="B91" s="78"/>
      <c r="C91" s="99"/>
      <c r="D91" s="78"/>
      <c r="E91" s="78"/>
      <c r="F91" s="108"/>
      <c r="G91" s="99"/>
      <c r="H91" s="110" t="b">
        <v>0</v>
      </c>
      <c r="I91" s="108"/>
      <c r="J91" s="99"/>
      <c r="K91" s="78"/>
      <c r="L91" s="78"/>
    </row>
    <row r="92" ht="24.0" customHeight="1">
      <c r="A92" s="78"/>
      <c r="B92" s="78"/>
      <c r="C92" s="99"/>
      <c r="D92" s="78"/>
      <c r="E92" s="78"/>
      <c r="F92" s="108"/>
      <c r="G92" s="99"/>
      <c r="H92" s="110" t="b">
        <v>0</v>
      </c>
      <c r="I92" s="108"/>
      <c r="J92" s="99"/>
      <c r="K92" s="78"/>
      <c r="L92" s="78"/>
    </row>
    <row r="93" ht="24.0" customHeight="1">
      <c r="A93" s="78"/>
      <c r="B93" s="78"/>
      <c r="C93" s="99"/>
      <c r="D93" s="78"/>
      <c r="E93" s="78"/>
      <c r="F93" s="108"/>
      <c r="G93" s="99"/>
      <c r="H93" s="110" t="b">
        <v>0</v>
      </c>
      <c r="I93" s="108"/>
      <c r="J93" s="99"/>
      <c r="K93" s="78"/>
      <c r="L93" s="78"/>
    </row>
    <row r="94" ht="24.0" customHeight="1">
      <c r="A94" s="78"/>
      <c r="B94" s="78"/>
      <c r="C94" s="99"/>
      <c r="D94" s="78"/>
      <c r="E94" s="78"/>
      <c r="F94" s="108"/>
      <c r="G94" s="99"/>
      <c r="H94" s="110" t="b">
        <v>0</v>
      </c>
      <c r="I94" s="108"/>
      <c r="J94" s="99"/>
      <c r="K94" s="78"/>
      <c r="L94" s="78"/>
    </row>
    <row r="95" ht="24.0" customHeight="1">
      <c r="A95" s="78"/>
      <c r="B95" s="78"/>
      <c r="C95" s="99"/>
      <c r="D95" s="78"/>
      <c r="E95" s="78"/>
      <c r="F95" s="108"/>
      <c r="G95" s="99"/>
      <c r="H95" s="110" t="b">
        <v>0</v>
      </c>
      <c r="I95" s="108"/>
      <c r="J95" s="99"/>
      <c r="K95" s="78"/>
      <c r="L95" s="78"/>
    </row>
    <row r="96" ht="24.0" customHeight="1">
      <c r="A96" s="78"/>
      <c r="B96" s="78"/>
      <c r="C96" s="99"/>
      <c r="D96" s="78"/>
      <c r="E96" s="78"/>
      <c r="F96" s="108"/>
      <c r="G96" s="99"/>
      <c r="H96" s="110" t="b">
        <v>0</v>
      </c>
      <c r="I96" s="108"/>
      <c r="J96" s="99"/>
      <c r="K96" s="78"/>
      <c r="L96" s="78"/>
    </row>
    <row r="97" ht="24.0" customHeight="1">
      <c r="A97" s="78"/>
      <c r="B97" s="78"/>
      <c r="C97" s="99"/>
      <c r="D97" s="78"/>
      <c r="E97" s="78"/>
      <c r="F97" s="108"/>
      <c r="G97" s="99"/>
      <c r="H97" s="110" t="b">
        <v>0</v>
      </c>
      <c r="I97" s="108"/>
      <c r="J97" s="99"/>
      <c r="K97" s="78"/>
      <c r="L97" s="78"/>
    </row>
    <row r="98" ht="24.0" customHeight="1">
      <c r="A98" s="78"/>
      <c r="B98" s="78"/>
      <c r="C98" s="99"/>
      <c r="D98" s="78"/>
      <c r="E98" s="78"/>
      <c r="F98" s="108"/>
      <c r="G98" s="99"/>
      <c r="H98" s="110" t="b">
        <v>0</v>
      </c>
      <c r="I98" s="108"/>
      <c r="J98" s="99"/>
      <c r="K98" s="78"/>
      <c r="L98" s="78"/>
    </row>
    <row r="99" ht="24.0" customHeight="1">
      <c r="A99" s="78"/>
      <c r="B99" s="78"/>
      <c r="C99" s="99"/>
      <c r="D99" s="78"/>
      <c r="E99" s="78"/>
      <c r="F99" s="108"/>
      <c r="G99" s="99"/>
      <c r="H99" s="110" t="b">
        <v>0</v>
      </c>
      <c r="I99" s="108"/>
      <c r="J99" s="99"/>
      <c r="K99" s="78"/>
      <c r="L99" s="78"/>
    </row>
    <row r="100" ht="24.0" customHeight="1">
      <c r="A100" s="78"/>
      <c r="B100" s="78"/>
      <c r="C100" s="99"/>
      <c r="D100" s="78"/>
      <c r="E100" s="78"/>
      <c r="F100" s="108"/>
      <c r="G100" s="99"/>
      <c r="H100" s="110" t="b">
        <v>0</v>
      </c>
      <c r="I100" s="108"/>
      <c r="J100" s="99"/>
      <c r="K100" s="78"/>
      <c r="L100" s="78"/>
    </row>
    <row r="101" ht="24.0" customHeight="1">
      <c r="A101" s="78"/>
      <c r="B101" s="78"/>
      <c r="C101" s="99"/>
      <c r="D101" s="78"/>
      <c r="E101" s="78"/>
      <c r="F101" s="108"/>
      <c r="G101" s="99"/>
      <c r="H101" s="110" t="b">
        <v>0</v>
      </c>
      <c r="I101" s="108"/>
      <c r="J101" s="99"/>
      <c r="K101" s="78"/>
      <c r="L101" s="78"/>
    </row>
    <row r="102" ht="24.0" customHeight="1">
      <c r="A102" s="78"/>
      <c r="B102" s="78"/>
      <c r="C102" s="99"/>
      <c r="D102" s="78"/>
      <c r="E102" s="78"/>
      <c r="F102" s="108"/>
      <c r="G102" s="99"/>
      <c r="H102" s="110" t="b">
        <v>0</v>
      </c>
      <c r="I102" s="108"/>
      <c r="J102" s="99"/>
      <c r="K102" s="78"/>
      <c r="L102" s="78"/>
    </row>
    <row r="103" ht="24.0" customHeight="1">
      <c r="A103" s="78"/>
      <c r="B103" s="78"/>
      <c r="C103" s="99"/>
      <c r="D103" s="78"/>
      <c r="E103" s="78"/>
      <c r="F103" s="108"/>
      <c r="G103" s="99"/>
      <c r="H103" s="110" t="b">
        <v>0</v>
      </c>
      <c r="I103" s="108"/>
      <c r="J103" s="99"/>
      <c r="K103" s="78"/>
      <c r="L103" s="78"/>
    </row>
    <row r="104" ht="24.0" customHeight="1">
      <c r="A104" s="78"/>
      <c r="B104" s="78"/>
      <c r="C104" s="99"/>
      <c r="D104" s="78"/>
      <c r="E104" s="78"/>
      <c r="F104" s="108"/>
      <c r="G104" s="99"/>
      <c r="H104" s="110" t="b">
        <v>0</v>
      </c>
      <c r="I104" s="108"/>
      <c r="J104" s="99"/>
      <c r="K104" s="78"/>
      <c r="L104" s="78"/>
    </row>
    <row r="105" ht="24.0" customHeight="1">
      <c r="A105" s="78"/>
      <c r="B105" s="78"/>
      <c r="C105" s="99"/>
      <c r="D105" s="78"/>
      <c r="E105" s="78"/>
      <c r="F105" s="108"/>
      <c r="G105" s="99"/>
      <c r="H105" s="110" t="b">
        <v>0</v>
      </c>
      <c r="I105" s="108"/>
      <c r="J105" s="99"/>
      <c r="K105" s="78"/>
      <c r="L105" s="78"/>
    </row>
    <row r="106" ht="24.0" customHeight="1">
      <c r="A106" s="78"/>
      <c r="B106" s="78"/>
      <c r="C106" s="99"/>
      <c r="D106" s="78"/>
      <c r="E106" s="78"/>
      <c r="F106" s="108"/>
      <c r="G106" s="99"/>
      <c r="H106" s="110" t="b">
        <v>0</v>
      </c>
      <c r="I106" s="108"/>
      <c r="J106" s="99"/>
      <c r="K106" s="78"/>
      <c r="L106" s="78"/>
    </row>
    <row r="107" ht="24.0" customHeight="1">
      <c r="A107" s="78"/>
      <c r="B107" s="78"/>
      <c r="C107" s="99"/>
      <c r="D107" s="78"/>
      <c r="E107" s="78"/>
      <c r="F107" s="108"/>
      <c r="G107" s="99"/>
      <c r="H107" s="110" t="b">
        <v>0</v>
      </c>
      <c r="I107" s="108"/>
      <c r="J107" s="99"/>
      <c r="K107" s="78"/>
      <c r="L107" s="78"/>
    </row>
    <row r="108" ht="24.0" customHeight="1">
      <c r="A108" s="78"/>
      <c r="B108" s="78"/>
      <c r="C108" s="99"/>
      <c r="D108" s="78"/>
      <c r="E108" s="78"/>
      <c r="F108" s="108"/>
      <c r="G108" s="99"/>
      <c r="H108" s="110" t="b">
        <v>0</v>
      </c>
      <c r="I108" s="108"/>
      <c r="J108" s="99"/>
      <c r="K108" s="78"/>
      <c r="L108" s="78"/>
    </row>
    <row r="109" ht="24.0" customHeight="1">
      <c r="A109" s="78"/>
      <c r="B109" s="78"/>
      <c r="C109" s="99"/>
      <c r="D109" s="78"/>
      <c r="E109" s="78"/>
      <c r="F109" s="108"/>
      <c r="G109" s="99"/>
      <c r="H109" s="110" t="b">
        <v>0</v>
      </c>
      <c r="I109" s="108"/>
      <c r="J109" s="99"/>
      <c r="K109" s="78"/>
      <c r="L109" s="78"/>
    </row>
    <row r="110" ht="24.0" customHeight="1">
      <c r="A110" s="78"/>
      <c r="B110" s="78"/>
      <c r="C110" s="99"/>
      <c r="D110" s="78"/>
      <c r="E110" s="78"/>
      <c r="F110" s="108"/>
      <c r="G110" s="99"/>
      <c r="H110" s="110" t="b">
        <v>0</v>
      </c>
      <c r="I110" s="108"/>
      <c r="J110" s="99"/>
      <c r="K110" s="78"/>
      <c r="L110" s="78"/>
    </row>
    <row r="111" ht="24.0" customHeight="1">
      <c r="A111" s="78"/>
      <c r="B111" s="78"/>
      <c r="C111" s="99"/>
      <c r="D111" s="78"/>
      <c r="E111" s="78"/>
      <c r="F111" s="108"/>
      <c r="G111" s="99"/>
      <c r="H111" s="110" t="b">
        <v>0</v>
      </c>
      <c r="I111" s="108"/>
      <c r="J111" s="99"/>
      <c r="K111" s="78"/>
      <c r="L111" s="78"/>
    </row>
    <row r="112" ht="24.0" customHeight="1">
      <c r="A112" s="78"/>
      <c r="B112" s="78"/>
      <c r="C112" s="99"/>
      <c r="D112" s="78"/>
      <c r="E112" s="78"/>
      <c r="F112" s="108"/>
      <c r="G112" s="99"/>
      <c r="H112" s="110" t="b">
        <v>0</v>
      </c>
      <c r="I112" s="108"/>
      <c r="J112" s="99"/>
      <c r="K112" s="78"/>
      <c r="L112" s="78"/>
    </row>
    <row r="113" ht="24.0" customHeight="1">
      <c r="A113" s="78"/>
      <c r="B113" s="78"/>
      <c r="C113" s="99"/>
      <c r="D113" s="78"/>
      <c r="E113" s="78"/>
      <c r="F113" s="108"/>
      <c r="G113" s="99"/>
      <c r="H113" s="110" t="b">
        <v>0</v>
      </c>
      <c r="I113" s="108"/>
      <c r="J113" s="99"/>
      <c r="K113" s="78"/>
      <c r="L113" s="78"/>
    </row>
    <row r="114" ht="24.0" customHeight="1">
      <c r="A114" s="78"/>
      <c r="B114" s="78"/>
      <c r="C114" s="99"/>
      <c r="D114" s="78"/>
      <c r="E114" s="78"/>
      <c r="F114" s="108"/>
      <c r="G114" s="99"/>
      <c r="H114" s="110" t="b">
        <v>0</v>
      </c>
      <c r="I114" s="108"/>
      <c r="J114" s="99"/>
      <c r="K114" s="78"/>
      <c r="L114" s="78"/>
    </row>
    <row r="115" ht="24.0" customHeight="1">
      <c r="A115" s="78"/>
      <c r="B115" s="78"/>
      <c r="C115" s="99"/>
      <c r="D115" s="78"/>
      <c r="E115" s="78"/>
      <c r="F115" s="108"/>
      <c r="G115" s="99"/>
      <c r="H115" s="110" t="b">
        <v>0</v>
      </c>
      <c r="I115" s="108"/>
      <c r="J115" s="99"/>
      <c r="K115" s="78"/>
      <c r="L115" s="78"/>
    </row>
    <row r="116" ht="24.0" customHeight="1">
      <c r="A116" s="78"/>
      <c r="B116" s="78"/>
      <c r="C116" s="99"/>
      <c r="D116" s="78"/>
      <c r="E116" s="78"/>
      <c r="F116" s="108"/>
      <c r="G116" s="99"/>
      <c r="H116" s="110" t="b">
        <v>0</v>
      </c>
      <c r="I116" s="108"/>
      <c r="J116" s="99"/>
      <c r="K116" s="78"/>
      <c r="L116" s="78"/>
    </row>
    <row r="117" ht="24.0" customHeight="1">
      <c r="A117" s="78"/>
      <c r="B117" s="78"/>
      <c r="C117" s="99"/>
      <c r="D117" s="78"/>
      <c r="E117" s="78"/>
      <c r="F117" s="108"/>
      <c r="G117" s="99"/>
      <c r="H117" s="110" t="b">
        <v>0</v>
      </c>
      <c r="I117" s="108"/>
      <c r="J117" s="99"/>
      <c r="K117" s="78"/>
      <c r="L117" s="78"/>
    </row>
    <row r="118" ht="24.0" customHeight="1">
      <c r="A118" s="78"/>
      <c r="B118" s="78"/>
      <c r="C118" s="99"/>
      <c r="D118" s="78"/>
      <c r="E118" s="78"/>
      <c r="F118" s="108"/>
      <c r="G118" s="99"/>
      <c r="H118" s="110" t="b">
        <v>0</v>
      </c>
      <c r="I118" s="108"/>
      <c r="J118" s="99"/>
      <c r="K118" s="78"/>
      <c r="L118" s="78"/>
    </row>
    <row r="119" ht="24.0" customHeight="1">
      <c r="A119" s="78"/>
      <c r="B119" s="78"/>
      <c r="C119" s="99"/>
      <c r="D119" s="78"/>
      <c r="E119" s="78"/>
      <c r="F119" s="108"/>
      <c r="G119" s="99"/>
      <c r="H119" s="110" t="b">
        <v>0</v>
      </c>
      <c r="I119" s="108"/>
      <c r="J119" s="99"/>
      <c r="K119" s="78"/>
      <c r="L119" s="78"/>
    </row>
    <row r="120" ht="24.0" customHeight="1">
      <c r="A120" s="78"/>
      <c r="B120" s="78"/>
      <c r="C120" s="99"/>
      <c r="D120" s="78"/>
      <c r="E120" s="78"/>
      <c r="F120" s="108"/>
      <c r="G120" s="99"/>
      <c r="H120" s="110" t="b">
        <v>0</v>
      </c>
      <c r="I120" s="108"/>
      <c r="J120" s="99"/>
      <c r="K120" s="78"/>
      <c r="L120" s="78"/>
    </row>
    <row r="121" ht="24.0" customHeight="1">
      <c r="A121" s="78"/>
      <c r="B121" s="78"/>
      <c r="C121" s="99"/>
      <c r="D121" s="78"/>
      <c r="E121" s="78"/>
      <c r="F121" s="108"/>
      <c r="G121" s="99"/>
      <c r="H121" s="110" t="b">
        <v>0</v>
      </c>
      <c r="I121" s="108"/>
      <c r="J121" s="99"/>
      <c r="K121" s="78"/>
      <c r="L121" s="78"/>
    </row>
    <row r="122" ht="24.0" customHeight="1">
      <c r="A122" s="78"/>
      <c r="B122" s="78"/>
      <c r="C122" s="99"/>
      <c r="D122" s="78"/>
      <c r="E122" s="78"/>
      <c r="F122" s="108"/>
      <c r="G122" s="99"/>
      <c r="H122" s="110" t="b">
        <v>0</v>
      </c>
      <c r="I122" s="108"/>
      <c r="J122" s="99"/>
      <c r="K122" s="78"/>
      <c r="L122" s="78"/>
    </row>
    <row r="123" ht="24.0" customHeight="1">
      <c r="A123" s="78"/>
      <c r="B123" s="78"/>
      <c r="C123" s="99"/>
      <c r="D123" s="78"/>
      <c r="E123" s="78"/>
      <c r="F123" s="108"/>
      <c r="G123" s="99"/>
      <c r="H123" s="110" t="b">
        <v>0</v>
      </c>
      <c r="I123" s="108"/>
      <c r="J123" s="99"/>
      <c r="K123" s="78"/>
      <c r="L123" s="78"/>
    </row>
    <row r="124" ht="24.0" customHeight="1">
      <c r="A124" s="78"/>
      <c r="B124" s="78"/>
      <c r="C124" s="99"/>
      <c r="D124" s="78"/>
      <c r="E124" s="78"/>
      <c r="F124" s="108"/>
      <c r="G124" s="99"/>
      <c r="H124" s="110" t="b">
        <v>0</v>
      </c>
      <c r="I124" s="108"/>
      <c r="J124" s="99"/>
      <c r="K124" s="78"/>
      <c r="L124" s="78"/>
    </row>
    <row r="125" ht="24.0" customHeight="1">
      <c r="A125" s="78"/>
      <c r="B125" s="78"/>
      <c r="C125" s="99"/>
      <c r="D125" s="78"/>
      <c r="E125" s="78"/>
      <c r="F125" s="108"/>
      <c r="G125" s="99"/>
      <c r="H125" s="110" t="b">
        <v>0</v>
      </c>
      <c r="I125" s="108"/>
      <c r="J125" s="99"/>
      <c r="K125" s="78"/>
      <c r="L125" s="78"/>
    </row>
    <row r="126" ht="24.0" customHeight="1">
      <c r="A126" s="78"/>
      <c r="B126" s="78"/>
      <c r="C126" s="99"/>
      <c r="D126" s="78"/>
      <c r="E126" s="78"/>
      <c r="F126" s="108"/>
      <c r="G126" s="99"/>
      <c r="H126" s="110" t="b">
        <v>0</v>
      </c>
      <c r="I126" s="108"/>
      <c r="J126" s="99"/>
      <c r="K126" s="78"/>
      <c r="L126" s="78"/>
    </row>
    <row r="127" ht="24.0" customHeight="1">
      <c r="A127" s="78"/>
      <c r="B127" s="78"/>
      <c r="C127" s="99"/>
      <c r="D127" s="78"/>
      <c r="E127" s="78"/>
      <c r="F127" s="108"/>
      <c r="G127" s="99"/>
      <c r="H127" s="110" t="b">
        <v>0</v>
      </c>
      <c r="I127" s="108"/>
      <c r="J127" s="99"/>
      <c r="K127" s="78"/>
      <c r="L127" s="78"/>
    </row>
    <row r="128" ht="24.0" customHeight="1">
      <c r="A128" s="78"/>
      <c r="B128" s="78"/>
      <c r="C128" s="99"/>
      <c r="D128" s="78"/>
      <c r="E128" s="78"/>
      <c r="F128" s="108"/>
      <c r="G128" s="99"/>
      <c r="H128" s="110" t="b">
        <v>0</v>
      </c>
      <c r="I128" s="108"/>
      <c r="J128" s="99"/>
      <c r="K128" s="78"/>
      <c r="L128" s="78"/>
    </row>
    <row r="129" ht="24.0" customHeight="1">
      <c r="A129" s="78"/>
      <c r="B129" s="78"/>
      <c r="C129" s="99"/>
      <c r="D129" s="78"/>
      <c r="E129" s="78"/>
      <c r="F129" s="108"/>
      <c r="G129" s="99"/>
      <c r="H129" s="110" t="b">
        <v>0</v>
      </c>
      <c r="I129" s="108"/>
      <c r="J129" s="99"/>
      <c r="K129" s="78"/>
      <c r="L129" s="78"/>
    </row>
    <row r="130" ht="24.0" customHeight="1">
      <c r="A130" s="78"/>
      <c r="B130" s="78"/>
      <c r="C130" s="99"/>
      <c r="D130" s="78"/>
      <c r="E130" s="78"/>
      <c r="F130" s="108"/>
      <c r="G130" s="99"/>
      <c r="H130" s="110" t="b">
        <v>0</v>
      </c>
      <c r="I130" s="108"/>
      <c r="J130" s="99"/>
      <c r="K130" s="78"/>
      <c r="L130" s="78"/>
    </row>
    <row r="131" ht="24.0" customHeight="1">
      <c r="A131" s="78"/>
      <c r="B131" s="78"/>
      <c r="C131" s="99"/>
      <c r="D131" s="78"/>
      <c r="E131" s="78"/>
      <c r="F131" s="108"/>
      <c r="G131" s="99"/>
      <c r="H131" s="110" t="b">
        <v>0</v>
      </c>
      <c r="I131" s="108"/>
      <c r="J131" s="99"/>
      <c r="K131" s="78"/>
      <c r="L131" s="78"/>
    </row>
    <row r="132" ht="24.0" customHeight="1">
      <c r="A132" s="78"/>
      <c r="B132" s="78"/>
      <c r="C132" s="99"/>
      <c r="D132" s="78"/>
      <c r="E132" s="78"/>
      <c r="F132" s="108"/>
      <c r="G132" s="99"/>
      <c r="H132" s="110" t="b">
        <v>0</v>
      </c>
      <c r="I132" s="108"/>
      <c r="J132" s="99"/>
      <c r="K132" s="78"/>
      <c r="L132" s="78"/>
    </row>
    <row r="133" ht="24.0" customHeight="1">
      <c r="A133" s="78"/>
      <c r="B133" s="78"/>
      <c r="C133" s="99"/>
      <c r="D133" s="78"/>
      <c r="E133" s="78"/>
      <c r="F133" s="108"/>
      <c r="G133" s="99"/>
      <c r="H133" s="110" t="b">
        <v>0</v>
      </c>
      <c r="I133" s="108"/>
      <c r="J133" s="99"/>
      <c r="K133" s="78"/>
      <c r="L133" s="78"/>
    </row>
    <row r="134" ht="24.0" customHeight="1">
      <c r="A134" s="78"/>
      <c r="B134" s="78"/>
      <c r="C134" s="99"/>
      <c r="D134" s="78"/>
      <c r="E134" s="78"/>
      <c r="F134" s="108"/>
      <c r="G134" s="99"/>
      <c r="H134" s="110" t="b">
        <v>0</v>
      </c>
      <c r="I134" s="108"/>
      <c r="J134" s="99"/>
      <c r="K134" s="78"/>
      <c r="L134" s="78"/>
    </row>
    <row r="135" ht="24.0" customHeight="1">
      <c r="A135" s="78"/>
      <c r="B135" s="78"/>
      <c r="C135" s="99"/>
      <c r="D135" s="78"/>
      <c r="E135" s="78"/>
      <c r="F135" s="108"/>
      <c r="G135" s="99"/>
      <c r="H135" s="110" t="b">
        <v>0</v>
      </c>
      <c r="I135" s="108"/>
      <c r="J135" s="99"/>
      <c r="K135" s="78"/>
      <c r="L135" s="78"/>
    </row>
    <row r="136" ht="24.0" customHeight="1">
      <c r="A136" s="78"/>
      <c r="B136" s="78"/>
      <c r="C136" s="99"/>
      <c r="D136" s="78"/>
      <c r="E136" s="78"/>
      <c r="F136" s="108"/>
      <c r="G136" s="99"/>
      <c r="H136" s="110" t="b">
        <v>0</v>
      </c>
      <c r="I136" s="108"/>
      <c r="J136" s="99"/>
      <c r="K136" s="78"/>
      <c r="L136" s="78"/>
    </row>
    <row r="137" ht="24.0" customHeight="1">
      <c r="A137" s="78"/>
      <c r="B137" s="78"/>
      <c r="C137" s="99"/>
      <c r="D137" s="78"/>
      <c r="E137" s="78"/>
      <c r="F137" s="108"/>
      <c r="G137" s="99"/>
      <c r="H137" s="110" t="b">
        <v>0</v>
      </c>
      <c r="I137" s="108"/>
      <c r="J137" s="99"/>
      <c r="K137" s="78"/>
      <c r="L137" s="78"/>
    </row>
    <row r="138" ht="24.0" customHeight="1">
      <c r="A138" s="78"/>
      <c r="B138" s="78"/>
      <c r="C138" s="99"/>
      <c r="D138" s="78"/>
      <c r="E138" s="78"/>
      <c r="F138" s="108"/>
      <c r="G138" s="99"/>
      <c r="H138" s="110" t="b">
        <v>0</v>
      </c>
      <c r="I138" s="108"/>
      <c r="J138" s="99"/>
      <c r="K138" s="78"/>
      <c r="L138" s="78"/>
    </row>
    <row r="139" ht="24.0" customHeight="1">
      <c r="A139" s="78"/>
      <c r="B139" s="78"/>
      <c r="C139" s="99"/>
      <c r="D139" s="78"/>
      <c r="E139" s="78"/>
      <c r="F139" s="108"/>
      <c r="G139" s="99"/>
      <c r="H139" s="110" t="b">
        <v>0</v>
      </c>
      <c r="I139" s="108"/>
      <c r="J139" s="99"/>
      <c r="K139" s="78"/>
      <c r="L139" s="78"/>
    </row>
    <row r="140" ht="24.0" customHeight="1">
      <c r="A140" s="78"/>
      <c r="B140" s="78"/>
      <c r="C140" s="99"/>
      <c r="D140" s="78"/>
      <c r="E140" s="78"/>
      <c r="F140" s="108"/>
      <c r="G140" s="99"/>
      <c r="H140" s="110" t="b">
        <v>0</v>
      </c>
      <c r="I140" s="108"/>
      <c r="J140" s="99"/>
      <c r="K140" s="78"/>
      <c r="L140" s="78"/>
    </row>
    <row r="141" ht="24.0" customHeight="1">
      <c r="A141" s="78"/>
      <c r="B141" s="78"/>
      <c r="C141" s="99"/>
      <c r="D141" s="78"/>
      <c r="E141" s="78"/>
      <c r="F141" s="108"/>
      <c r="G141" s="99"/>
      <c r="H141" s="110" t="b">
        <v>0</v>
      </c>
      <c r="I141" s="108"/>
      <c r="J141" s="99"/>
      <c r="K141" s="78"/>
      <c r="L141" s="78"/>
    </row>
    <row r="142" ht="24.0" customHeight="1">
      <c r="A142" s="78"/>
      <c r="B142" s="78"/>
      <c r="C142" s="99"/>
      <c r="D142" s="78"/>
      <c r="E142" s="78"/>
      <c r="F142" s="108"/>
      <c r="G142" s="99"/>
      <c r="H142" s="110" t="b">
        <v>0</v>
      </c>
      <c r="I142" s="108"/>
      <c r="J142" s="99"/>
      <c r="K142" s="78"/>
      <c r="L142" s="78"/>
    </row>
    <row r="143" ht="24.0" customHeight="1">
      <c r="A143" s="78"/>
      <c r="B143" s="78"/>
      <c r="C143" s="99"/>
      <c r="D143" s="78"/>
      <c r="E143" s="78"/>
      <c r="F143" s="108"/>
      <c r="G143" s="99"/>
      <c r="H143" s="110" t="b">
        <v>0</v>
      </c>
      <c r="I143" s="108"/>
      <c r="J143" s="99"/>
      <c r="K143" s="78"/>
      <c r="L143" s="78"/>
    </row>
    <row r="144" ht="24.0" customHeight="1">
      <c r="A144" s="78"/>
      <c r="B144" s="78"/>
      <c r="C144" s="99"/>
      <c r="D144" s="78"/>
      <c r="E144" s="78"/>
      <c r="F144" s="108"/>
      <c r="G144" s="99"/>
      <c r="H144" s="110" t="b">
        <v>0</v>
      </c>
      <c r="I144" s="108"/>
      <c r="J144" s="99"/>
      <c r="K144" s="78"/>
      <c r="L144" s="78"/>
    </row>
    <row r="145" ht="24.0" customHeight="1">
      <c r="A145" s="78"/>
      <c r="B145" s="78"/>
      <c r="C145" s="99"/>
      <c r="D145" s="78"/>
      <c r="E145" s="78"/>
      <c r="F145" s="108"/>
      <c r="G145" s="99"/>
      <c r="H145" s="110" t="b">
        <v>0</v>
      </c>
      <c r="I145" s="108"/>
      <c r="J145" s="99"/>
      <c r="K145" s="78"/>
      <c r="L145" s="78"/>
    </row>
    <row r="146" ht="24.0" customHeight="1">
      <c r="A146" s="78"/>
      <c r="B146" s="78"/>
      <c r="C146" s="99"/>
      <c r="D146" s="78"/>
      <c r="E146" s="78"/>
      <c r="F146" s="108"/>
      <c r="G146" s="99"/>
      <c r="H146" s="110" t="b">
        <v>0</v>
      </c>
      <c r="I146" s="108"/>
      <c r="J146" s="99"/>
      <c r="K146" s="78"/>
      <c r="L146" s="78"/>
    </row>
    <row r="147" ht="24.0" customHeight="1">
      <c r="A147" s="78"/>
      <c r="B147" s="78"/>
      <c r="C147" s="99"/>
      <c r="D147" s="78"/>
      <c r="E147" s="78"/>
      <c r="F147" s="108"/>
      <c r="G147" s="99"/>
      <c r="H147" s="110" t="b">
        <v>0</v>
      </c>
      <c r="I147" s="108"/>
      <c r="J147" s="99"/>
      <c r="K147" s="78"/>
      <c r="L147" s="78"/>
    </row>
    <row r="148" ht="24.0" customHeight="1">
      <c r="A148" s="78"/>
      <c r="B148" s="78"/>
      <c r="C148" s="99"/>
      <c r="D148" s="78"/>
      <c r="E148" s="78"/>
      <c r="F148" s="108"/>
      <c r="G148" s="99"/>
      <c r="H148" s="110" t="b">
        <v>0</v>
      </c>
      <c r="I148" s="108"/>
      <c r="J148" s="99"/>
      <c r="K148" s="78"/>
      <c r="L148" s="78"/>
    </row>
    <row r="149" ht="24.0" customHeight="1">
      <c r="A149" s="78"/>
      <c r="B149" s="78"/>
      <c r="C149" s="99"/>
      <c r="D149" s="78"/>
      <c r="E149" s="78"/>
      <c r="F149" s="108"/>
      <c r="G149" s="99"/>
      <c r="H149" s="110" t="b">
        <v>0</v>
      </c>
      <c r="I149" s="108"/>
      <c r="J149" s="99"/>
      <c r="K149" s="78"/>
      <c r="L149" s="78"/>
    </row>
    <row r="150" ht="24.0" customHeight="1">
      <c r="A150" s="78"/>
      <c r="B150" s="78"/>
      <c r="C150" s="99"/>
      <c r="D150" s="78"/>
      <c r="E150" s="78"/>
      <c r="F150" s="108"/>
      <c r="G150" s="99"/>
      <c r="H150" s="110" t="b">
        <v>0</v>
      </c>
      <c r="I150" s="108"/>
      <c r="J150" s="99"/>
      <c r="K150" s="78"/>
      <c r="L150" s="78"/>
    </row>
    <row r="151" ht="24.0" customHeight="1">
      <c r="A151" s="78"/>
      <c r="B151" s="78"/>
      <c r="C151" s="99"/>
      <c r="D151" s="78"/>
      <c r="E151" s="78"/>
      <c r="F151" s="108"/>
      <c r="G151" s="99"/>
      <c r="H151" s="110" t="b">
        <v>0</v>
      </c>
      <c r="I151" s="108"/>
      <c r="J151" s="99"/>
      <c r="K151" s="78"/>
      <c r="L151" s="78"/>
    </row>
    <row r="152" ht="24.0" customHeight="1">
      <c r="A152" s="78"/>
      <c r="B152" s="78"/>
      <c r="C152" s="99"/>
      <c r="D152" s="78"/>
      <c r="E152" s="78"/>
      <c r="F152" s="108"/>
      <c r="G152" s="99"/>
      <c r="H152" s="110" t="b">
        <v>0</v>
      </c>
      <c r="I152" s="108"/>
      <c r="J152" s="99"/>
      <c r="K152" s="78"/>
      <c r="L152" s="78"/>
    </row>
    <row r="153" ht="24.0" customHeight="1">
      <c r="A153" s="78"/>
      <c r="B153" s="78"/>
      <c r="C153" s="99"/>
      <c r="D153" s="78"/>
      <c r="E153" s="78"/>
      <c r="F153" s="108"/>
      <c r="G153" s="99"/>
      <c r="H153" s="110" t="b">
        <v>0</v>
      </c>
      <c r="I153" s="108"/>
      <c r="J153" s="99"/>
      <c r="K153" s="78"/>
      <c r="L153" s="78"/>
    </row>
    <row r="154" ht="24.0" customHeight="1">
      <c r="A154" s="78"/>
      <c r="B154" s="78"/>
      <c r="C154" s="99"/>
      <c r="D154" s="78"/>
      <c r="E154" s="78"/>
      <c r="F154" s="108"/>
      <c r="G154" s="99"/>
      <c r="H154" s="110" t="b">
        <v>0</v>
      </c>
      <c r="I154" s="108"/>
      <c r="J154" s="99"/>
      <c r="K154" s="78"/>
      <c r="L154" s="78"/>
    </row>
    <row r="155" ht="24.0" customHeight="1">
      <c r="A155" s="78"/>
      <c r="B155" s="78"/>
      <c r="C155" s="99"/>
      <c r="D155" s="78"/>
      <c r="E155" s="78"/>
      <c r="F155" s="108"/>
      <c r="G155" s="99"/>
      <c r="H155" s="110" t="b">
        <v>0</v>
      </c>
      <c r="I155" s="108"/>
      <c r="J155" s="99"/>
      <c r="K155" s="78"/>
      <c r="L155" s="78"/>
    </row>
    <row r="156" ht="24.0" customHeight="1">
      <c r="A156" s="78"/>
      <c r="B156" s="78"/>
      <c r="C156" s="99"/>
      <c r="D156" s="78"/>
      <c r="E156" s="78"/>
      <c r="F156" s="108"/>
      <c r="G156" s="99"/>
      <c r="H156" s="110" t="b">
        <v>0</v>
      </c>
      <c r="I156" s="108"/>
      <c r="J156" s="99"/>
      <c r="K156" s="78"/>
      <c r="L156" s="78"/>
    </row>
    <row r="157" ht="24.0" customHeight="1">
      <c r="A157" s="78"/>
      <c r="B157" s="78"/>
      <c r="C157" s="99"/>
      <c r="D157" s="78"/>
      <c r="E157" s="78"/>
      <c r="F157" s="108"/>
      <c r="G157" s="99"/>
      <c r="H157" s="110" t="b">
        <v>0</v>
      </c>
      <c r="I157" s="108"/>
      <c r="J157" s="99"/>
      <c r="K157" s="78"/>
      <c r="L157" s="78"/>
    </row>
    <row r="158" ht="24.0" customHeight="1">
      <c r="A158" s="78"/>
      <c r="B158" s="78"/>
      <c r="C158" s="99"/>
      <c r="D158" s="78"/>
      <c r="E158" s="78"/>
      <c r="F158" s="108"/>
      <c r="G158" s="99"/>
      <c r="H158" s="110" t="b">
        <v>0</v>
      </c>
      <c r="I158" s="108"/>
      <c r="J158" s="99"/>
      <c r="K158" s="78"/>
      <c r="L158" s="78"/>
    </row>
    <row r="159" ht="24.0" customHeight="1">
      <c r="A159" s="78"/>
      <c r="B159" s="78"/>
      <c r="C159" s="99"/>
      <c r="D159" s="78"/>
      <c r="E159" s="78"/>
      <c r="F159" s="108"/>
      <c r="G159" s="99"/>
      <c r="H159" s="110" t="b">
        <v>0</v>
      </c>
      <c r="I159" s="108"/>
      <c r="J159" s="99"/>
      <c r="K159" s="78"/>
      <c r="L159" s="78"/>
    </row>
    <row r="160" ht="24.0" customHeight="1">
      <c r="A160" s="78"/>
      <c r="B160" s="78"/>
      <c r="C160" s="99"/>
      <c r="D160" s="78"/>
      <c r="E160" s="78"/>
      <c r="F160" s="108"/>
      <c r="G160" s="99"/>
      <c r="H160" s="110" t="b">
        <v>0</v>
      </c>
      <c r="I160" s="108"/>
      <c r="J160" s="99"/>
      <c r="K160" s="78"/>
      <c r="L160" s="78"/>
    </row>
    <row r="161" ht="24.0" customHeight="1">
      <c r="A161" s="78"/>
      <c r="B161" s="78"/>
      <c r="C161" s="99"/>
      <c r="D161" s="78"/>
      <c r="E161" s="78"/>
      <c r="F161" s="108"/>
      <c r="G161" s="99"/>
      <c r="H161" s="110" t="b">
        <v>0</v>
      </c>
      <c r="I161" s="108"/>
      <c r="J161" s="99"/>
      <c r="K161" s="78"/>
      <c r="L161" s="78"/>
    </row>
    <row r="162" ht="24.0" customHeight="1">
      <c r="A162" s="78"/>
      <c r="B162" s="78"/>
      <c r="C162" s="99"/>
      <c r="D162" s="78"/>
      <c r="E162" s="78"/>
      <c r="F162" s="108"/>
      <c r="G162" s="99"/>
      <c r="H162" s="110" t="b">
        <v>0</v>
      </c>
      <c r="I162" s="108"/>
      <c r="J162" s="99"/>
      <c r="K162" s="78"/>
      <c r="L162" s="78"/>
    </row>
    <row r="163" ht="24.0" customHeight="1">
      <c r="A163" s="78"/>
      <c r="B163" s="78"/>
      <c r="C163" s="99"/>
      <c r="D163" s="78"/>
      <c r="E163" s="78"/>
      <c r="F163" s="108"/>
      <c r="G163" s="99"/>
      <c r="H163" s="110" t="b">
        <v>0</v>
      </c>
      <c r="I163" s="108"/>
      <c r="J163" s="99"/>
      <c r="K163" s="78"/>
      <c r="L163" s="78"/>
    </row>
    <row r="164" ht="24.0" customHeight="1">
      <c r="A164" s="78"/>
      <c r="B164" s="78"/>
      <c r="C164" s="99"/>
      <c r="D164" s="78"/>
      <c r="E164" s="78"/>
      <c r="F164" s="108"/>
      <c r="G164" s="99"/>
      <c r="H164" s="110" t="b">
        <v>0</v>
      </c>
      <c r="I164" s="108"/>
      <c r="J164" s="99"/>
      <c r="K164" s="78"/>
      <c r="L164" s="78"/>
    </row>
    <row r="165" ht="24.0" customHeight="1">
      <c r="A165" s="78"/>
      <c r="B165" s="78"/>
      <c r="C165" s="99"/>
      <c r="D165" s="78"/>
      <c r="E165" s="78"/>
      <c r="F165" s="108"/>
      <c r="G165" s="99"/>
      <c r="H165" s="110" t="b">
        <v>0</v>
      </c>
      <c r="I165" s="108"/>
      <c r="J165" s="99"/>
      <c r="K165" s="78"/>
      <c r="L165" s="78"/>
    </row>
    <row r="166" ht="24.0" customHeight="1">
      <c r="A166" s="78"/>
      <c r="B166" s="78"/>
      <c r="C166" s="99"/>
      <c r="D166" s="78"/>
      <c r="E166" s="78"/>
      <c r="F166" s="108"/>
      <c r="G166" s="99"/>
      <c r="H166" s="110" t="b">
        <v>0</v>
      </c>
      <c r="I166" s="108"/>
      <c r="J166" s="99"/>
      <c r="K166" s="78"/>
      <c r="L166" s="78"/>
    </row>
    <row r="167" ht="24.0" customHeight="1">
      <c r="A167" s="78"/>
      <c r="B167" s="78"/>
      <c r="C167" s="99"/>
      <c r="D167" s="78"/>
      <c r="E167" s="78"/>
      <c r="F167" s="108"/>
      <c r="G167" s="99"/>
      <c r="H167" s="110" t="b">
        <v>0</v>
      </c>
      <c r="I167" s="108"/>
      <c r="J167" s="99"/>
      <c r="K167" s="78"/>
      <c r="L167" s="78"/>
    </row>
    <row r="168" ht="24.0" customHeight="1">
      <c r="A168" s="78"/>
      <c r="B168" s="78"/>
      <c r="C168" s="99"/>
      <c r="D168" s="78"/>
      <c r="E168" s="78"/>
      <c r="F168" s="108"/>
      <c r="G168" s="99"/>
      <c r="H168" s="110" t="b">
        <v>0</v>
      </c>
      <c r="I168" s="108"/>
      <c r="J168" s="99"/>
      <c r="K168" s="78"/>
      <c r="L168" s="78"/>
    </row>
    <row r="169" ht="24.0" customHeight="1">
      <c r="A169" s="78"/>
      <c r="B169" s="78"/>
      <c r="C169" s="99"/>
      <c r="D169" s="78"/>
      <c r="E169" s="78"/>
      <c r="F169" s="108"/>
      <c r="G169" s="99"/>
      <c r="H169" s="110" t="b">
        <v>0</v>
      </c>
      <c r="I169" s="108"/>
      <c r="J169" s="99"/>
      <c r="K169" s="78"/>
      <c r="L169" s="78"/>
    </row>
    <row r="170" ht="24.0" customHeight="1">
      <c r="A170" s="78"/>
      <c r="B170" s="78"/>
      <c r="C170" s="99"/>
      <c r="D170" s="78"/>
      <c r="E170" s="78"/>
      <c r="F170" s="108"/>
      <c r="G170" s="99"/>
      <c r="H170" s="110" t="b">
        <v>0</v>
      </c>
      <c r="I170" s="108"/>
      <c r="J170" s="99"/>
      <c r="K170" s="78"/>
      <c r="L170" s="78"/>
    </row>
    <row r="171" ht="24.0" customHeight="1">
      <c r="A171" s="78"/>
      <c r="B171" s="78"/>
      <c r="C171" s="99"/>
      <c r="D171" s="78"/>
      <c r="E171" s="78"/>
      <c r="F171" s="108"/>
      <c r="G171" s="99"/>
      <c r="H171" s="110" t="b">
        <v>0</v>
      </c>
      <c r="I171" s="108"/>
      <c r="J171" s="99"/>
      <c r="K171" s="78"/>
      <c r="L171" s="78"/>
    </row>
    <row r="172" ht="24.0" customHeight="1">
      <c r="A172" s="78"/>
      <c r="B172" s="78"/>
      <c r="C172" s="99"/>
      <c r="D172" s="78"/>
      <c r="E172" s="78"/>
      <c r="F172" s="108"/>
      <c r="G172" s="99"/>
      <c r="H172" s="110" t="b">
        <v>0</v>
      </c>
      <c r="I172" s="108"/>
      <c r="J172" s="99"/>
      <c r="K172" s="78"/>
      <c r="L172" s="78"/>
    </row>
    <row r="173" ht="24.0" customHeight="1">
      <c r="A173" s="78"/>
      <c r="B173" s="78"/>
      <c r="C173" s="99"/>
      <c r="D173" s="78"/>
      <c r="E173" s="78"/>
      <c r="F173" s="108"/>
      <c r="G173" s="99"/>
      <c r="H173" s="110" t="b">
        <v>0</v>
      </c>
      <c r="I173" s="108"/>
      <c r="J173" s="99"/>
      <c r="K173" s="78"/>
      <c r="L173" s="78"/>
    </row>
    <row r="174" ht="24.0" customHeight="1">
      <c r="A174" s="78"/>
      <c r="B174" s="78"/>
      <c r="C174" s="99"/>
      <c r="D174" s="78"/>
      <c r="E174" s="78"/>
      <c r="F174" s="108"/>
      <c r="G174" s="99"/>
      <c r="H174" s="110" t="b">
        <v>0</v>
      </c>
      <c r="I174" s="108"/>
      <c r="J174" s="99"/>
      <c r="K174" s="78"/>
      <c r="L174" s="78"/>
    </row>
    <row r="175" ht="24.0" customHeight="1">
      <c r="A175" s="78"/>
      <c r="B175" s="78"/>
      <c r="C175" s="99"/>
      <c r="D175" s="78"/>
      <c r="E175" s="78"/>
      <c r="F175" s="108"/>
      <c r="G175" s="99"/>
      <c r="H175" s="110" t="b">
        <v>0</v>
      </c>
      <c r="I175" s="108"/>
      <c r="J175" s="99"/>
      <c r="K175" s="78"/>
      <c r="L175" s="78"/>
    </row>
    <row r="176" ht="24.0" customHeight="1">
      <c r="A176" s="78"/>
      <c r="B176" s="78"/>
      <c r="C176" s="99"/>
      <c r="D176" s="78"/>
      <c r="E176" s="78"/>
      <c r="F176" s="108"/>
      <c r="G176" s="99"/>
      <c r="H176" s="110" t="b">
        <v>0</v>
      </c>
      <c r="I176" s="108"/>
      <c r="J176" s="99"/>
      <c r="K176" s="78"/>
      <c r="L176" s="78"/>
    </row>
    <row r="177" ht="24.0" customHeight="1">
      <c r="A177" s="78"/>
      <c r="B177" s="78"/>
      <c r="C177" s="99"/>
      <c r="D177" s="78"/>
      <c r="E177" s="78"/>
      <c r="F177" s="108"/>
      <c r="G177" s="99"/>
      <c r="H177" s="110" t="b">
        <v>0</v>
      </c>
      <c r="I177" s="108"/>
      <c r="J177" s="99"/>
      <c r="K177" s="78"/>
      <c r="L177" s="78"/>
    </row>
    <row r="178" ht="24.0" customHeight="1">
      <c r="A178" s="78"/>
      <c r="B178" s="78"/>
      <c r="C178" s="99"/>
      <c r="D178" s="78"/>
      <c r="E178" s="78"/>
      <c r="F178" s="108"/>
      <c r="G178" s="99"/>
      <c r="H178" s="110" t="b">
        <v>0</v>
      </c>
      <c r="I178" s="108"/>
      <c r="J178" s="99"/>
      <c r="K178" s="78"/>
      <c r="L178" s="78"/>
    </row>
    <row r="179" ht="24.0" customHeight="1">
      <c r="A179" s="78"/>
      <c r="B179" s="78"/>
      <c r="C179" s="99"/>
      <c r="D179" s="78"/>
      <c r="E179" s="78"/>
      <c r="F179" s="108"/>
      <c r="G179" s="99"/>
      <c r="H179" s="110" t="b">
        <v>0</v>
      </c>
      <c r="I179" s="108"/>
      <c r="J179" s="99"/>
      <c r="K179" s="78"/>
      <c r="L179" s="78"/>
    </row>
    <row r="180" ht="24.0" customHeight="1">
      <c r="A180" s="78"/>
      <c r="B180" s="78"/>
      <c r="C180" s="99"/>
      <c r="D180" s="78"/>
      <c r="E180" s="78"/>
      <c r="F180" s="108"/>
      <c r="G180" s="99"/>
      <c r="H180" s="110" t="b">
        <v>0</v>
      </c>
      <c r="I180" s="108"/>
      <c r="J180" s="99"/>
      <c r="K180" s="78"/>
      <c r="L180" s="78"/>
    </row>
    <row r="181" ht="24.0" customHeight="1">
      <c r="A181" s="78"/>
      <c r="B181" s="78"/>
      <c r="C181" s="99"/>
      <c r="D181" s="78"/>
      <c r="E181" s="78"/>
      <c r="F181" s="108"/>
      <c r="G181" s="99"/>
      <c r="H181" s="110" t="b">
        <v>0</v>
      </c>
      <c r="I181" s="108"/>
      <c r="J181" s="99"/>
      <c r="K181" s="78"/>
      <c r="L181" s="78"/>
    </row>
    <row r="182" ht="24.0" customHeight="1">
      <c r="A182" s="78"/>
      <c r="B182" s="78"/>
      <c r="C182" s="99"/>
      <c r="D182" s="78"/>
      <c r="E182" s="78"/>
      <c r="F182" s="108"/>
      <c r="G182" s="99"/>
      <c r="H182" s="110" t="b">
        <v>0</v>
      </c>
      <c r="I182" s="108"/>
      <c r="J182" s="99"/>
      <c r="K182" s="78"/>
      <c r="L182" s="78"/>
    </row>
    <row r="183" ht="24.0" customHeight="1">
      <c r="A183" s="78"/>
      <c r="B183" s="78"/>
      <c r="C183" s="99"/>
      <c r="D183" s="78"/>
      <c r="E183" s="78"/>
      <c r="F183" s="108"/>
      <c r="G183" s="99"/>
      <c r="H183" s="110" t="b">
        <v>0</v>
      </c>
      <c r="I183" s="108"/>
      <c r="J183" s="99"/>
      <c r="K183" s="78"/>
      <c r="L183" s="78"/>
    </row>
    <row r="184" ht="24.0" customHeight="1">
      <c r="A184" s="78"/>
      <c r="B184" s="78"/>
      <c r="C184" s="99"/>
      <c r="D184" s="78"/>
      <c r="E184" s="78"/>
      <c r="F184" s="108"/>
      <c r="G184" s="99"/>
      <c r="H184" s="110" t="b">
        <v>0</v>
      </c>
      <c r="I184" s="108"/>
      <c r="J184" s="99"/>
      <c r="K184" s="78"/>
      <c r="L184" s="78"/>
    </row>
    <row r="185" ht="24.0" customHeight="1">
      <c r="A185" s="78"/>
      <c r="B185" s="78"/>
      <c r="C185" s="99"/>
      <c r="D185" s="78"/>
      <c r="E185" s="78"/>
      <c r="F185" s="108"/>
      <c r="G185" s="99"/>
      <c r="H185" s="110" t="b">
        <v>0</v>
      </c>
      <c r="I185" s="108"/>
      <c r="J185" s="99"/>
      <c r="K185" s="78"/>
      <c r="L185" s="78"/>
    </row>
    <row r="186" ht="24.0" customHeight="1">
      <c r="A186" s="78"/>
      <c r="B186" s="78"/>
      <c r="C186" s="99"/>
      <c r="D186" s="78"/>
      <c r="E186" s="78"/>
      <c r="F186" s="108"/>
      <c r="G186" s="99"/>
      <c r="H186" s="110" t="b">
        <v>0</v>
      </c>
      <c r="I186" s="108"/>
      <c r="J186" s="99"/>
      <c r="K186" s="78"/>
      <c r="L186" s="78"/>
    </row>
    <row r="187" ht="24.0" customHeight="1">
      <c r="A187" s="78"/>
      <c r="B187" s="78"/>
      <c r="C187" s="99"/>
      <c r="D187" s="78"/>
      <c r="E187" s="78"/>
      <c r="F187" s="108"/>
      <c r="G187" s="99"/>
      <c r="H187" s="110" t="b">
        <v>0</v>
      </c>
      <c r="I187" s="108"/>
      <c r="J187" s="99"/>
      <c r="K187" s="78"/>
      <c r="L187" s="78"/>
    </row>
    <row r="188" ht="24.0" customHeight="1">
      <c r="A188" s="78"/>
      <c r="B188" s="78"/>
      <c r="C188" s="99"/>
      <c r="D188" s="78"/>
      <c r="E188" s="78"/>
      <c r="F188" s="108"/>
      <c r="G188" s="99"/>
      <c r="H188" s="110" t="b">
        <v>0</v>
      </c>
      <c r="I188" s="108"/>
      <c r="J188" s="99"/>
      <c r="K188" s="78"/>
      <c r="L188" s="78"/>
    </row>
    <row r="189" ht="24.0" customHeight="1">
      <c r="A189" s="78"/>
      <c r="B189" s="78"/>
      <c r="C189" s="99"/>
      <c r="D189" s="78"/>
      <c r="E189" s="78"/>
      <c r="F189" s="108"/>
      <c r="G189" s="99"/>
      <c r="H189" s="110" t="b">
        <v>0</v>
      </c>
      <c r="I189" s="108"/>
      <c r="J189" s="99"/>
      <c r="K189" s="78"/>
      <c r="L189" s="78"/>
    </row>
    <row r="190" ht="24.0" customHeight="1">
      <c r="A190" s="78"/>
      <c r="B190" s="78"/>
      <c r="C190" s="99"/>
      <c r="D190" s="78"/>
      <c r="E190" s="78"/>
      <c r="F190" s="108"/>
      <c r="G190" s="99"/>
      <c r="H190" s="110" t="b">
        <v>0</v>
      </c>
      <c r="I190" s="108"/>
      <c r="J190" s="99"/>
      <c r="K190" s="78"/>
      <c r="L190" s="78"/>
    </row>
    <row r="191" ht="24.0" customHeight="1">
      <c r="A191" s="78"/>
      <c r="B191" s="78"/>
      <c r="C191" s="99"/>
      <c r="D191" s="78"/>
      <c r="E191" s="78"/>
      <c r="F191" s="108"/>
      <c r="G191" s="99"/>
      <c r="H191" s="110" t="b">
        <v>0</v>
      </c>
      <c r="I191" s="108"/>
      <c r="J191" s="99"/>
      <c r="K191" s="78"/>
      <c r="L191" s="78"/>
    </row>
    <row r="192" ht="24.0" customHeight="1">
      <c r="A192" s="78"/>
      <c r="B192" s="78"/>
      <c r="C192" s="99"/>
      <c r="D192" s="78"/>
      <c r="E192" s="78"/>
      <c r="F192" s="108"/>
      <c r="G192" s="99"/>
      <c r="H192" s="110" t="b">
        <v>0</v>
      </c>
      <c r="I192" s="108"/>
      <c r="J192" s="99"/>
      <c r="K192" s="78"/>
      <c r="L192" s="78"/>
    </row>
    <row r="193" ht="24.0" customHeight="1">
      <c r="A193" s="78"/>
      <c r="B193" s="78"/>
      <c r="C193" s="99"/>
      <c r="D193" s="78"/>
      <c r="E193" s="78"/>
      <c r="F193" s="108"/>
      <c r="G193" s="99"/>
      <c r="H193" s="110" t="b">
        <v>0</v>
      </c>
      <c r="I193" s="108"/>
      <c r="J193" s="99"/>
      <c r="K193" s="78"/>
      <c r="L193" s="78"/>
    </row>
    <row r="194" ht="24.0" customHeight="1">
      <c r="A194" s="78"/>
      <c r="B194" s="78"/>
      <c r="C194" s="99"/>
      <c r="D194" s="78"/>
      <c r="E194" s="78"/>
      <c r="F194" s="108"/>
      <c r="G194" s="99"/>
      <c r="H194" s="110" t="b">
        <v>0</v>
      </c>
      <c r="I194" s="108"/>
      <c r="J194" s="99"/>
      <c r="K194" s="78"/>
      <c r="L194" s="78"/>
    </row>
    <row r="195" ht="24.0" customHeight="1">
      <c r="A195" s="78"/>
      <c r="B195" s="78"/>
      <c r="C195" s="99"/>
      <c r="D195" s="78"/>
      <c r="E195" s="78"/>
      <c r="F195" s="108"/>
      <c r="G195" s="99"/>
      <c r="H195" s="110" t="b">
        <v>0</v>
      </c>
      <c r="I195" s="108"/>
      <c r="J195" s="99"/>
      <c r="K195" s="78"/>
      <c r="L195" s="78"/>
    </row>
    <row r="196" ht="24.0" customHeight="1">
      <c r="A196" s="78"/>
      <c r="B196" s="78"/>
      <c r="C196" s="99"/>
      <c r="D196" s="78"/>
      <c r="E196" s="78"/>
      <c r="F196" s="108"/>
      <c r="G196" s="99"/>
      <c r="H196" s="110" t="b">
        <v>0</v>
      </c>
      <c r="I196" s="108"/>
      <c r="J196" s="99"/>
      <c r="K196" s="78"/>
      <c r="L196" s="78"/>
    </row>
    <row r="197" ht="24.0" customHeight="1">
      <c r="A197" s="78"/>
      <c r="B197" s="78"/>
      <c r="C197" s="99"/>
      <c r="D197" s="78"/>
      <c r="E197" s="78"/>
      <c r="F197" s="108"/>
      <c r="G197" s="99"/>
      <c r="H197" s="110" t="b">
        <v>0</v>
      </c>
      <c r="I197" s="108"/>
      <c r="J197" s="99"/>
      <c r="K197" s="78"/>
      <c r="L197" s="78"/>
    </row>
    <row r="198" ht="24.0" customHeight="1">
      <c r="A198" s="78"/>
      <c r="B198" s="78"/>
      <c r="C198" s="99"/>
      <c r="D198" s="78"/>
      <c r="E198" s="78"/>
      <c r="F198" s="108"/>
      <c r="G198" s="99"/>
      <c r="H198" s="110" t="b">
        <v>0</v>
      </c>
      <c r="I198" s="108"/>
      <c r="J198" s="99"/>
      <c r="K198" s="78"/>
      <c r="L198" s="78"/>
    </row>
    <row r="199" ht="24.0" customHeight="1">
      <c r="A199" s="78"/>
      <c r="B199" s="78"/>
      <c r="C199" s="99"/>
      <c r="D199" s="78"/>
      <c r="E199" s="78"/>
      <c r="F199" s="108"/>
      <c r="G199" s="99"/>
      <c r="H199" s="110" t="b">
        <v>0</v>
      </c>
      <c r="I199" s="108"/>
      <c r="J199" s="99"/>
      <c r="K199" s="78"/>
      <c r="L199" s="78"/>
    </row>
    <row r="200" ht="24.0" customHeight="1">
      <c r="A200" s="78"/>
      <c r="B200" s="78"/>
      <c r="C200" s="99"/>
      <c r="D200" s="78"/>
      <c r="E200" s="78"/>
      <c r="F200" s="108"/>
      <c r="G200" s="99"/>
      <c r="H200" s="110" t="b">
        <v>0</v>
      </c>
      <c r="I200" s="108"/>
      <c r="J200" s="99"/>
      <c r="K200" s="78"/>
      <c r="L200" s="78"/>
    </row>
    <row r="201" ht="24.0" customHeight="1">
      <c r="A201" s="78"/>
      <c r="B201" s="78"/>
      <c r="C201" s="99"/>
      <c r="D201" s="78"/>
      <c r="E201" s="78"/>
      <c r="F201" s="108"/>
      <c r="G201" s="99"/>
      <c r="H201" s="110" t="b">
        <v>0</v>
      </c>
      <c r="I201" s="108"/>
      <c r="J201" s="99"/>
      <c r="K201" s="78"/>
      <c r="L201" s="78"/>
    </row>
    <row r="202" ht="24.0" customHeight="1">
      <c r="A202" s="78"/>
      <c r="B202" s="78"/>
      <c r="C202" s="99"/>
      <c r="D202" s="78"/>
      <c r="E202" s="78"/>
      <c r="F202" s="108"/>
      <c r="G202" s="99"/>
      <c r="H202" s="110" t="b">
        <v>0</v>
      </c>
      <c r="I202" s="108"/>
      <c r="J202" s="99"/>
      <c r="K202" s="78"/>
      <c r="L202" s="78"/>
    </row>
    <row r="203" ht="24.0" customHeight="1">
      <c r="A203" s="78"/>
      <c r="B203" s="78"/>
      <c r="C203" s="99"/>
      <c r="D203" s="78"/>
      <c r="E203" s="78"/>
      <c r="F203" s="108"/>
      <c r="G203" s="99"/>
      <c r="H203" s="110" t="b">
        <v>0</v>
      </c>
      <c r="I203" s="108"/>
      <c r="J203" s="99"/>
      <c r="K203" s="78"/>
      <c r="L203" s="78"/>
    </row>
    <row r="204" ht="24.0" customHeight="1">
      <c r="A204" s="78"/>
      <c r="B204" s="78"/>
      <c r="C204" s="99"/>
      <c r="D204" s="78"/>
      <c r="E204" s="78"/>
      <c r="F204" s="108"/>
      <c r="G204" s="99"/>
      <c r="H204" s="110" t="b">
        <v>0</v>
      </c>
      <c r="I204" s="108"/>
      <c r="J204" s="99"/>
      <c r="K204" s="78"/>
      <c r="L204" s="78"/>
    </row>
    <row r="205" ht="24.0" customHeight="1">
      <c r="A205" s="78"/>
      <c r="B205" s="78"/>
      <c r="C205" s="99"/>
      <c r="D205" s="78"/>
      <c r="E205" s="78"/>
      <c r="F205" s="108"/>
      <c r="G205" s="99"/>
      <c r="H205" s="110" t="b">
        <v>0</v>
      </c>
      <c r="I205" s="108"/>
      <c r="J205" s="99"/>
      <c r="K205" s="78"/>
      <c r="L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3:B3"/>
  </mergeCells>
  <conditionalFormatting sqref="G6:G205">
    <cfRule type="containsText" dxfId="5" priority="1" operator="containsText" text="Submitted">
      <formula>NOT(ISERROR(SEARCH(("Submitted"),(G6))))</formula>
    </cfRule>
  </conditionalFormatting>
  <conditionalFormatting sqref="G6:G205">
    <cfRule type="containsText" dxfId="6" priority="2" operator="containsText" text="Ready">
      <formula>NOT(ISERROR(SEARCH(("Ready"),(G6))))</formula>
    </cfRule>
  </conditionalFormatting>
  <conditionalFormatting sqref="G6:G205">
    <cfRule type="containsText" dxfId="6" priority="3" operator="containsText" text="Admitted">
      <formula>NOT(ISERROR(SEARCH(("Admitted"),(G6))))</formula>
    </cfRule>
  </conditionalFormatting>
  <conditionalFormatting sqref="G6:G205">
    <cfRule type="containsText" dxfId="6" priority="4" operator="containsText" text="Awarded">
      <formula>NOT(ISERROR(SEARCH(("Awarded"),(G6))))</formula>
    </cfRule>
  </conditionalFormatting>
  <conditionalFormatting sqref="G6:G205">
    <cfRule type="containsText" dxfId="6" priority="5" operator="containsText" text="Completed">
      <formula>NOT(ISERROR(SEARCH(("Completed"),(G6))))</formula>
    </cfRule>
  </conditionalFormatting>
  <conditionalFormatting sqref="G6:G205">
    <cfRule type="containsText" dxfId="6" priority="6" operator="containsText" text="Done">
      <formula>NOT(ISERROR(SEARCH(("Done"),(G6))))</formula>
    </cfRule>
  </conditionalFormatting>
  <conditionalFormatting sqref="G6:G205">
    <cfRule type="containsText" dxfId="6" priority="7" operator="containsText" text="Final">
      <formula>NOT(ISERROR(SEARCH(("Final"),(G6))))</formula>
    </cfRule>
  </conditionalFormatting>
  <conditionalFormatting sqref="G6:G205">
    <cfRule type="containsText" dxfId="7" priority="8" operator="containsText" text="Preparing">
      <formula>NOT(ISERROR(SEARCH(("Preparing"),(G6))))</formula>
    </cfRule>
  </conditionalFormatting>
  <conditionalFormatting sqref="G6:G205">
    <cfRule type="containsText" dxfId="7" priority="9" operator="containsText" text="In Progress">
      <formula>NOT(ISERROR(SEARCH(("In Progress"),(G6))))</formula>
    </cfRule>
  </conditionalFormatting>
  <conditionalFormatting sqref="G6:G205">
    <cfRule type="containsText" dxfId="7" priority="10" operator="containsText" text="Shortlisted">
      <formula>NOT(ISERROR(SEARCH(("Shortlisted"),(G6))))</formula>
    </cfRule>
  </conditionalFormatting>
  <conditionalFormatting sqref="G6:G205">
    <cfRule type="containsText" dxfId="8" priority="11" operator="containsText" text="Researching">
      <formula>NOT(ISERROR(SEARCH(("Researching"),(G6))))</formula>
    </cfRule>
  </conditionalFormatting>
  <conditionalFormatting sqref="G6:G205">
    <cfRule type="containsText" dxfId="8" priority="12" operator="containsText" text="Exploring">
      <formula>NOT(ISERROR(SEARCH(("Exploring"),(G6))))</formula>
    </cfRule>
  </conditionalFormatting>
  <conditionalFormatting sqref="G6:G205">
    <cfRule type="containsText" dxfId="9" priority="13" operator="containsText" text="Needs Verification">
      <formula>NOT(ISERROR(SEARCH(("Needs Verification"),(G6))))</formula>
    </cfRule>
  </conditionalFormatting>
  <conditionalFormatting sqref="G6:G205">
    <cfRule type="containsText" dxfId="10" priority="14" operator="containsText" text="Overdue">
      <formula>NOT(ISERROR(SEARCH(("Overdue"),(G6))))</formula>
    </cfRule>
  </conditionalFormatting>
  <conditionalFormatting sqref="G6:G205">
    <cfRule type="containsText" dxfId="10" priority="15" operator="containsText" text="Rejected">
      <formula>NOT(ISERROR(SEARCH(("Rejected"),(G6))))</formula>
    </cfRule>
  </conditionalFormatting>
  <conditionalFormatting sqref="G6:G205">
    <cfRule type="containsText" dxfId="10" priority="16" operator="containsText" text="Blocked">
      <formula>NOT(ISERROR(SEARCH(("Blocked"),(G6))))</formula>
    </cfRule>
  </conditionalFormatting>
  <conditionalFormatting sqref="F6:F205">
    <cfRule type="expression" dxfId="10" priority="17">
      <formula>AND(F6&lt;&gt;"",F6&lt;TODAY())</formula>
    </cfRule>
  </conditionalFormatting>
  <conditionalFormatting sqref="F6:F205">
    <cfRule type="expression" dxfId="9" priority="18">
      <formula>AND(F6&gt;=TODAY(),F6&lt;=TODAY()+7)</formula>
    </cfRule>
  </conditionalFormatting>
  <dataValidations>
    <dataValidation type="list" allowBlank="1" sqref="J6:J205">
      <formula1>"Program,Scholarship,Application,Scholarship Application,General"</formula1>
    </dataValidation>
    <dataValidation type="custom" allowBlank="1" showDropDown="1" sqref="F6:F205 I6:I205">
      <formula1>OR(NOT(ISERROR(DATEVALUE(F6))), AND(ISNUMBER(F6), LEFT(CELL("format", F6))="D"))</formula1>
    </dataValidation>
    <dataValidation type="list" allowBlank="1" sqref="C6:C205">
      <formula1>"CV,Transcript,Status Letter,Identity,Language Test,Recommendation,Certificate,Writing Sample,Research Proposal,Financial,Other"</formula1>
    </dataValidation>
    <dataValidation type="list" allowBlank="1" sqref="G6:G205">
      <formula1>"Missing,Draft,Needs Update,Ready,Expired,Archived"</formula1>
    </dataValidation>
    <dataValidation allowBlank="1" showDropDown="1" sqref="A6:B205 D6:E205 K6:L20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3" width="18.88"/>
    <col customWidth="1" min="4" max="4" width="22.0"/>
    <col customWidth="1" min="5" max="5" width="14.88"/>
    <col customWidth="1" min="6" max="6" width="14.38"/>
    <col customWidth="1" min="7" max="7" width="18.88"/>
    <col customWidth="1" min="8" max="8" width="15.0"/>
    <col customWidth="1" min="9" max="9" width="16.63"/>
    <col customWidth="1" min="10" max="10" width="32.0"/>
    <col customWidth="1" min="11" max="11" width="20.0"/>
    <col customWidth="1" min="12" max="12" width="42.0"/>
    <col customWidth="1" min="13" max="26" width="8.63"/>
  </cols>
  <sheetData>
    <row r="1" ht="33.75" customHeight="1">
      <c r="A1" s="1" t="s">
        <v>333</v>
      </c>
    </row>
    <row r="2" ht="27.75" customHeight="1">
      <c r="A2" s="2" t="s">
        <v>334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31.5" customHeight="1">
      <c r="A5" s="28" t="s">
        <v>335</v>
      </c>
      <c r="B5" s="28" t="s">
        <v>336</v>
      </c>
      <c r="C5" s="28" t="s">
        <v>144</v>
      </c>
      <c r="D5" s="28" t="s">
        <v>240</v>
      </c>
      <c r="E5" s="28" t="s">
        <v>337</v>
      </c>
      <c r="F5" s="28" t="s">
        <v>338</v>
      </c>
      <c r="G5" s="28" t="s">
        <v>70</v>
      </c>
      <c r="H5" s="28" t="s">
        <v>245</v>
      </c>
      <c r="I5" s="28" t="s">
        <v>339</v>
      </c>
      <c r="J5" s="28" t="s">
        <v>340</v>
      </c>
      <c r="K5" s="28" t="s">
        <v>341</v>
      </c>
      <c r="L5" s="28" t="s">
        <v>85</v>
      </c>
      <c r="M5" s="30" t="s">
        <v>339</v>
      </c>
      <c r="N5" s="30" t="s">
        <v>340</v>
      </c>
      <c r="O5" s="30" t="s">
        <v>341</v>
      </c>
      <c r="P5" s="30" t="s">
        <v>85</v>
      </c>
    </row>
    <row r="6" ht="24.0" customHeight="1">
      <c r="A6" s="80" t="s">
        <v>342</v>
      </c>
      <c r="B6" s="82" t="s">
        <v>343</v>
      </c>
      <c r="C6" s="82" t="s">
        <v>161</v>
      </c>
      <c r="D6" s="86" t="s">
        <v>344</v>
      </c>
      <c r="E6" s="90">
        <v>1000.0</v>
      </c>
      <c r="F6" s="90">
        <v>0.0</v>
      </c>
      <c r="G6" s="86" t="s">
        <v>345</v>
      </c>
      <c r="H6" s="106">
        <v>46285.0</v>
      </c>
      <c r="I6" s="82" t="s">
        <v>346</v>
      </c>
      <c r="J6" s="62"/>
      <c r="K6" s="62"/>
      <c r="L6" s="93" t="s">
        <v>347</v>
      </c>
    </row>
    <row r="7" ht="24.0" customHeight="1">
      <c r="A7" s="78"/>
      <c r="B7" s="78"/>
      <c r="C7" s="78"/>
      <c r="D7" s="99"/>
      <c r="E7" s="104"/>
      <c r="F7" s="104"/>
      <c r="G7" s="99"/>
      <c r="H7" s="108"/>
      <c r="I7" s="78"/>
      <c r="J7" s="78"/>
      <c r="K7" s="78"/>
      <c r="L7" s="78"/>
    </row>
    <row r="8" ht="24.0" customHeight="1">
      <c r="A8" s="78"/>
      <c r="B8" s="78"/>
      <c r="C8" s="78"/>
      <c r="D8" s="99"/>
      <c r="E8" s="104"/>
      <c r="F8" s="104"/>
      <c r="G8" s="99"/>
      <c r="H8" s="108"/>
      <c r="I8" s="78"/>
      <c r="J8" s="78"/>
      <c r="K8" s="78"/>
      <c r="L8" s="78"/>
    </row>
    <row r="9" ht="24.0" customHeight="1">
      <c r="A9" s="78"/>
      <c r="B9" s="78"/>
      <c r="C9" s="78"/>
      <c r="D9" s="99"/>
      <c r="E9" s="104"/>
      <c r="F9" s="104"/>
      <c r="G9" s="99"/>
      <c r="H9" s="108"/>
      <c r="I9" s="78"/>
      <c r="J9" s="78"/>
      <c r="K9" s="78"/>
      <c r="L9" s="78"/>
    </row>
    <row r="10" ht="24.0" customHeight="1">
      <c r="A10" s="78"/>
      <c r="B10" s="78"/>
      <c r="C10" s="78"/>
      <c r="D10" s="99"/>
      <c r="E10" s="104"/>
      <c r="F10" s="104"/>
      <c r="G10" s="99"/>
      <c r="H10" s="108"/>
      <c r="I10" s="78"/>
      <c r="J10" s="78"/>
      <c r="K10" s="78"/>
      <c r="L10" s="78"/>
    </row>
    <row r="11" ht="24.0" customHeight="1">
      <c r="A11" s="78"/>
      <c r="B11" s="78"/>
      <c r="C11" s="78"/>
      <c r="D11" s="99"/>
      <c r="E11" s="104"/>
      <c r="F11" s="104"/>
      <c r="G11" s="99"/>
      <c r="H11" s="108"/>
      <c r="I11" s="78"/>
      <c r="J11" s="78"/>
      <c r="K11" s="78"/>
      <c r="L11" s="78"/>
    </row>
    <row r="12" ht="24.0" customHeight="1">
      <c r="A12" s="78"/>
      <c r="B12" s="78"/>
      <c r="C12" s="78"/>
      <c r="D12" s="99"/>
      <c r="E12" s="104"/>
      <c r="F12" s="104"/>
      <c r="G12" s="99"/>
      <c r="H12" s="108"/>
      <c r="I12" s="78"/>
      <c r="J12" s="78"/>
      <c r="K12" s="78"/>
      <c r="L12" s="78"/>
    </row>
    <row r="13" ht="24.0" customHeight="1">
      <c r="A13" s="78"/>
      <c r="B13" s="78"/>
      <c r="C13" s="78"/>
      <c r="D13" s="99"/>
      <c r="E13" s="104"/>
      <c r="F13" s="104"/>
      <c r="G13" s="99"/>
      <c r="H13" s="108"/>
      <c r="I13" s="78"/>
      <c r="J13" s="78"/>
      <c r="K13" s="78"/>
      <c r="L13" s="78"/>
    </row>
    <row r="14" ht="24.0" customHeight="1">
      <c r="A14" s="78"/>
      <c r="B14" s="78"/>
      <c r="C14" s="78"/>
      <c r="D14" s="99"/>
      <c r="E14" s="104"/>
      <c r="F14" s="104"/>
      <c r="G14" s="99"/>
      <c r="H14" s="108"/>
      <c r="I14" s="78"/>
      <c r="J14" s="78"/>
      <c r="K14" s="78"/>
      <c r="L14" s="78"/>
    </row>
    <row r="15" ht="24.0" customHeight="1">
      <c r="A15" s="78"/>
      <c r="B15" s="78"/>
      <c r="C15" s="78"/>
      <c r="D15" s="99"/>
      <c r="E15" s="104"/>
      <c r="F15" s="104"/>
      <c r="G15" s="99"/>
      <c r="H15" s="108"/>
      <c r="I15" s="78"/>
      <c r="J15" s="78"/>
      <c r="K15" s="78"/>
      <c r="L15" s="78"/>
    </row>
    <row r="16" ht="24.0" customHeight="1">
      <c r="A16" s="78"/>
      <c r="B16" s="78"/>
      <c r="C16" s="78"/>
      <c r="D16" s="99"/>
      <c r="E16" s="104"/>
      <c r="F16" s="104"/>
      <c r="G16" s="99"/>
      <c r="H16" s="108"/>
      <c r="I16" s="78"/>
      <c r="J16" s="78"/>
      <c r="K16" s="78"/>
      <c r="L16" s="78"/>
    </row>
    <row r="17" ht="24.0" customHeight="1">
      <c r="A17" s="78"/>
      <c r="B17" s="78"/>
      <c r="C17" s="78"/>
      <c r="D17" s="99"/>
      <c r="E17" s="104"/>
      <c r="F17" s="104"/>
      <c r="G17" s="99"/>
      <c r="H17" s="108"/>
      <c r="I17" s="78"/>
      <c r="J17" s="78"/>
      <c r="K17" s="78"/>
      <c r="L17" s="78"/>
    </row>
    <row r="18" ht="24.0" customHeight="1">
      <c r="A18" s="78"/>
      <c r="B18" s="78"/>
      <c r="C18" s="78"/>
      <c r="D18" s="99"/>
      <c r="E18" s="104"/>
      <c r="F18" s="104"/>
      <c r="G18" s="99"/>
      <c r="H18" s="108"/>
      <c r="I18" s="78"/>
      <c r="J18" s="78"/>
      <c r="K18" s="78"/>
      <c r="L18" s="78"/>
    </row>
    <row r="19" ht="24.0" customHeight="1">
      <c r="A19" s="78"/>
      <c r="B19" s="78"/>
      <c r="C19" s="78"/>
      <c r="D19" s="99"/>
      <c r="E19" s="104"/>
      <c r="F19" s="104"/>
      <c r="G19" s="99"/>
      <c r="H19" s="108"/>
      <c r="I19" s="78"/>
      <c r="J19" s="78"/>
      <c r="K19" s="78"/>
      <c r="L19" s="78"/>
    </row>
    <row r="20" ht="24.0" customHeight="1">
      <c r="A20" s="78"/>
      <c r="B20" s="78"/>
      <c r="C20" s="78"/>
      <c r="D20" s="99"/>
      <c r="E20" s="104"/>
      <c r="F20" s="104"/>
      <c r="G20" s="99"/>
      <c r="H20" s="108"/>
      <c r="I20" s="78"/>
      <c r="J20" s="78"/>
      <c r="K20" s="78"/>
      <c r="L20" s="78"/>
    </row>
    <row r="21" ht="24.0" customHeight="1">
      <c r="A21" s="78"/>
      <c r="B21" s="78"/>
      <c r="C21" s="78"/>
      <c r="D21" s="99"/>
      <c r="E21" s="104"/>
      <c r="F21" s="104"/>
      <c r="G21" s="99"/>
      <c r="H21" s="108"/>
      <c r="I21" s="78"/>
      <c r="J21" s="78"/>
      <c r="K21" s="78"/>
      <c r="L21" s="78"/>
    </row>
    <row r="22" ht="24.0" customHeight="1">
      <c r="A22" s="78"/>
      <c r="B22" s="78"/>
      <c r="C22" s="78"/>
      <c r="D22" s="99"/>
      <c r="E22" s="104"/>
      <c r="F22" s="104"/>
      <c r="G22" s="99"/>
      <c r="H22" s="108"/>
      <c r="I22" s="78"/>
      <c r="J22" s="78"/>
      <c r="K22" s="78"/>
      <c r="L22" s="78"/>
    </row>
    <row r="23" ht="24.0" customHeight="1">
      <c r="A23" s="78"/>
      <c r="B23" s="78"/>
      <c r="C23" s="78"/>
      <c r="D23" s="99"/>
      <c r="E23" s="104"/>
      <c r="F23" s="104"/>
      <c r="G23" s="99"/>
      <c r="H23" s="108"/>
      <c r="I23" s="78"/>
      <c r="J23" s="78"/>
      <c r="K23" s="78"/>
      <c r="L23" s="78"/>
    </row>
    <row r="24" ht="24.0" customHeight="1">
      <c r="A24" s="78"/>
      <c r="B24" s="78"/>
      <c r="C24" s="78"/>
      <c r="D24" s="99"/>
      <c r="E24" s="104"/>
      <c r="F24" s="104"/>
      <c r="G24" s="99"/>
      <c r="H24" s="108"/>
      <c r="I24" s="78"/>
      <c r="J24" s="78"/>
      <c r="K24" s="78"/>
      <c r="L24" s="78"/>
    </row>
    <row r="25" ht="24.0" customHeight="1">
      <c r="A25" s="78"/>
      <c r="B25" s="78"/>
      <c r="C25" s="78"/>
      <c r="D25" s="99"/>
      <c r="E25" s="104"/>
      <c r="F25" s="104"/>
      <c r="G25" s="99"/>
      <c r="H25" s="108"/>
      <c r="I25" s="78"/>
      <c r="J25" s="78"/>
      <c r="K25" s="78"/>
      <c r="L25" s="78"/>
    </row>
    <row r="26" ht="24.0" customHeight="1">
      <c r="A26" s="78"/>
      <c r="B26" s="78"/>
      <c r="C26" s="78"/>
      <c r="D26" s="99"/>
      <c r="E26" s="104"/>
      <c r="F26" s="104"/>
      <c r="G26" s="99"/>
      <c r="H26" s="108"/>
      <c r="I26" s="78"/>
      <c r="J26" s="78"/>
      <c r="K26" s="78"/>
      <c r="L26" s="78"/>
    </row>
    <row r="27" ht="24.0" customHeight="1">
      <c r="A27" s="78"/>
      <c r="B27" s="78"/>
      <c r="C27" s="78"/>
      <c r="D27" s="99"/>
      <c r="E27" s="104"/>
      <c r="F27" s="104"/>
      <c r="G27" s="99"/>
      <c r="H27" s="108"/>
      <c r="I27" s="78"/>
      <c r="J27" s="78"/>
      <c r="K27" s="78"/>
      <c r="L27" s="78"/>
    </row>
    <row r="28" ht="24.0" customHeight="1">
      <c r="A28" s="78"/>
      <c r="B28" s="78"/>
      <c r="C28" s="78"/>
      <c r="D28" s="99"/>
      <c r="E28" s="104"/>
      <c r="F28" s="104"/>
      <c r="G28" s="99"/>
      <c r="H28" s="108"/>
      <c r="I28" s="78"/>
      <c r="J28" s="78"/>
      <c r="K28" s="78"/>
      <c r="L28" s="78"/>
    </row>
    <row r="29" ht="24.0" customHeight="1">
      <c r="A29" s="78"/>
      <c r="B29" s="78"/>
      <c r="C29" s="78"/>
      <c r="D29" s="99"/>
      <c r="E29" s="104"/>
      <c r="F29" s="104"/>
      <c r="G29" s="99"/>
      <c r="H29" s="108"/>
      <c r="I29" s="78"/>
      <c r="J29" s="78"/>
      <c r="K29" s="78"/>
      <c r="L29" s="78"/>
    </row>
    <row r="30" ht="24.0" customHeight="1">
      <c r="A30" s="78"/>
      <c r="B30" s="78"/>
      <c r="C30" s="78"/>
      <c r="D30" s="99"/>
      <c r="E30" s="104"/>
      <c r="F30" s="104"/>
      <c r="G30" s="99"/>
      <c r="H30" s="108"/>
      <c r="I30" s="78"/>
      <c r="J30" s="78"/>
      <c r="K30" s="78"/>
      <c r="L30" s="78"/>
    </row>
    <row r="31" ht="24.0" customHeight="1">
      <c r="A31" s="78"/>
      <c r="B31" s="78"/>
      <c r="C31" s="78"/>
      <c r="D31" s="99"/>
      <c r="E31" s="104"/>
      <c r="F31" s="104"/>
      <c r="G31" s="99"/>
      <c r="H31" s="108"/>
      <c r="I31" s="78"/>
      <c r="J31" s="78"/>
      <c r="K31" s="78"/>
      <c r="L31" s="78"/>
    </row>
    <row r="32" ht="24.0" customHeight="1">
      <c r="A32" s="78"/>
      <c r="B32" s="78"/>
      <c r="C32" s="78"/>
      <c r="D32" s="99"/>
      <c r="E32" s="104"/>
      <c r="F32" s="104"/>
      <c r="G32" s="99"/>
      <c r="H32" s="108"/>
      <c r="I32" s="78"/>
      <c r="J32" s="78"/>
      <c r="K32" s="78"/>
      <c r="L32" s="78"/>
    </row>
    <row r="33" ht="24.0" customHeight="1">
      <c r="A33" s="78"/>
      <c r="B33" s="78"/>
      <c r="C33" s="78"/>
      <c r="D33" s="99"/>
      <c r="E33" s="104"/>
      <c r="F33" s="104"/>
      <c r="G33" s="99"/>
      <c r="H33" s="108"/>
      <c r="I33" s="78"/>
      <c r="J33" s="78"/>
      <c r="K33" s="78"/>
      <c r="L33" s="78"/>
    </row>
    <row r="34" ht="24.0" customHeight="1">
      <c r="A34" s="78"/>
      <c r="B34" s="78"/>
      <c r="C34" s="78"/>
      <c r="D34" s="99"/>
      <c r="E34" s="104"/>
      <c r="F34" s="104"/>
      <c r="G34" s="99"/>
      <c r="H34" s="108"/>
      <c r="I34" s="78"/>
      <c r="J34" s="78"/>
      <c r="K34" s="78"/>
      <c r="L34" s="78"/>
    </row>
    <row r="35" ht="24.0" customHeight="1">
      <c r="A35" s="78"/>
      <c r="B35" s="78"/>
      <c r="C35" s="78"/>
      <c r="D35" s="99"/>
      <c r="E35" s="104"/>
      <c r="F35" s="104"/>
      <c r="G35" s="99"/>
      <c r="H35" s="108"/>
      <c r="I35" s="78"/>
      <c r="J35" s="78"/>
      <c r="K35" s="78"/>
      <c r="L35" s="78"/>
    </row>
    <row r="36" ht="24.0" customHeight="1">
      <c r="A36" s="78"/>
      <c r="B36" s="78"/>
      <c r="C36" s="78"/>
      <c r="D36" s="99"/>
      <c r="E36" s="104"/>
      <c r="F36" s="104"/>
      <c r="G36" s="99"/>
      <c r="H36" s="108"/>
      <c r="I36" s="78"/>
      <c r="J36" s="78"/>
      <c r="K36" s="78"/>
      <c r="L36" s="78"/>
    </row>
    <row r="37" ht="24.0" customHeight="1">
      <c r="A37" s="78"/>
      <c r="B37" s="78"/>
      <c r="C37" s="78"/>
      <c r="D37" s="99"/>
      <c r="E37" s="104"/>
      <c r="F37" s="104"/>
      <c r="G37" s="99"/>
      <c r="H37" s="108"/>
      <c r="I37" s="78"/>
      <c r="J37" s="78"/>
      <c r="K37" s="78"/>
      <c r="L37" s="78"/>
    </row>
    <row r="38" ht="24.0" customHeight="1">
      <c r="A38" s="78"/>
      <c r="B38" s="78"/>
      <c r="C38" s="78"/>
      <c r="D38" s="99"/>
      <c r="E38" s="104"/>
      <c r="F38" s="104"/>
      <c r="G38" s="99"/>
      <c r="H38" s="108"/>
      <c r="I38" s="78"/>
      <c r="J38" s="78"/>
      <c r="K38" s="78"/>
      <c r="L38" s="78"/>
    </row>
    <row r="39" ht="24.0" customHeight="1">
      <c r="A39" s="78"/>
      <c r="B39" s="78"/>
      <c r="C39" s="78"/>
      <c r="D39" s="99"/>
      <c r="E39" s="104"/>
      <c r="F39" s="104"/>
      <c r="G39" s="99"/>
      <c r="H39" s="108"/>
      <c r="I39" s="78"/>
      <c r="J39" s="78"/>
      <c r="K39" s="78"/>
      <c r="L39" s="78"/>
    </row>
    <row r="40" ht="24.0" customHeight="1">
      <c r="A40" s="78"/>
      <c r="B40" s="78"/>
      <c r="C40" s="78"/>
      <c r="D40" s="99"/>
      <c r="E40" s="104"/>
      <c r="F40" s="104"/>
      <c r="G40" s="99"/>
      <c r="H40" s="108"/>
      <c r="I40" s="78"/>
      <c r="J40" s="78"/>
      <c r="K40" s="78"/>
      <c r="L40" s="78"/>
    </row>
    <row r="41" ht="24.0" customHeight="1">
      <c r="A41" s="78"/>
      <c r="B41" s="78"/>
      <c r="C41" s="78"/>
      <c r="D41" s="99"/>
      <c r="E41" s="104"/>
      <c r="F41" s="104"/>
      <c r="G41" s="99"/>
      <c r="H41" s="108"/>
      <c r="I41" s="78"/>
      <c r="J41" s="78"/>
      <c r="K41" s="78"/>
      <c r="L41" s="78"/>
    </row>
    <row r="42" ht="24.0" customHeight="1">
      <c r="A42" s="78"/>
      <c r="B42" s="78"/>
      <c r="C42" s="78"/>
      <c r="D42" s="99"/>
      <c r="E42" s="104"/>
      <c r="F42" s="104"/>
      <c r="G42" s="99"/>
      <c r="H42" s="108"/>
      <c r="I42" s="78"/>
      <c r="J42" s="78"/>
      <c r="K42" s="78"/>
      <c r="L42" s="78"/>
    </row>
    <row r="43" ht="24.0" customHeight="1">
      <c r="A43" s="78"/>
      <c r="B43" s="78"/>
      <c r="C43" s="78"/>
      <c r="D43" s="99"/>
      <c r="E43" s="104"/>
      <c r="F43" s="104"/>
      <c r="G43" s="99"/>
      <c r="H43" s="108"/>
      <c r="I43" s="78"/>
      <c r="J43" s="78"/>
      <c r="K43" s="78"/>
      <c r="L43" s="78"/>
    </row>
    <row r="44" ht="24.0" customHeight="1">
      <c r="A44" s="78"/>
      <c r="B44" s="78"/>
      <c r="C44" s="78"/>
      <c r="D44" s="99"/>
      <c r="E44" s="104"/>
      <c r="F44" s="104"/>
      <c r="G44" s="99"/>
      <c r="H44" s="108"/>
      <c r="I44" s="78"/>
      <c r="J44" s="78"/>
      <c r="K44" s="78"/>
      <c r="L44" s="78"/>
    </row>
    <row r="45" ht="24.0" customHeight="1">
      <c r="A45" s="78"/>
      <c r="B45" s="78"/>
      <c r="C45" s="78"/>
      <c r="D45" s="99"/>
      <c r="E45" s="104"/>
      <c r="F45" s="104"/>
      <c r="G45" s="99"/>
      <c r="H45" s="108"/>
      <c r="I45" s="78"/>
      <c r="J45" s="78"/>
      <c r="K45" s="78"/>
      <c r="L45" s="78"/>
    </row>
    <row r="46" ht="24.0" customHeight="1">
      <c r="A46" s="78"/>
      <c r="B46" s="78"/>
      <c r="C46" s="78"/>
      <c r="D46" s="99"/>
      <c r="E46" s="104"/>
      <c r="F46" s="104"/>
      <c r="G46" s="99"/>
      <c r="H46" s="108"/>
      <c r="I46" s="78"/>
      <c r="J46" s="78"/>
      <c r="K46" s="78"/>
      <c r="L46" s="78"/>
    </row>
    <row r="47" ht="24.0" customHeight="1">
      <c r="A47" s="78"/>
      <c r="B47" s="78"/>
      <c r="C47" s="78"/>
      <c r="D47" s="99"/>
      <c r="E47" s="104"/>
      <c r="F47" s="104"/>
      <c r="G47" s="99"/>
      <c r="H47" s="108"/>
      <c r="I47" s="78"/>
      <c r="J47" s="78"/>
      <c r="K47" s="78"/>
      <c r="L47" s="78"/>
    </row>
    <row r="48" ht="24.0" customHeight="1">
      <c r="A48" s="78"/>
      <c r="B48" s="78"/>
      <c r="C48" s="78"/>
      <c r="D48" s="99"/>
      <c r="E48" s="104"/>
      <c r="F48" s="104"/>
      <c r="G48" s="99"/>
      <c r="H48" s="108"/>
      <c r="I48" s="78"/>
      <c r="J48" s="78"/>
      <c r="K48" s="78"/>
      <c r="L48" s="78"/>
    </row>
    <row r="49" ht="24.0" customHeight="1">
      <c r="A49" s="78"/>
      <c r="B49" s="78"/>
      <c r="C49" s="78"/>
      <c r="D49" s="99"/>
      <c r="E49" s="104"/>
      <c r="F49" s="104"/>
      <c r="G49" s="99"/>
      <c r="H49" s="108"/>
      <c r="I49" s="78"/>
      <c r="J49" s="78"/>
      <c r="K49" s="78"/>
      <c r="L49" s="78"/>
    </row>
    <row r="50" ht="24.0" customHeight="1">
      <c r="A50" s="78"/>
      <c r="B50" s="78"/>
      <c r="C50" s="78"/>
      <c r="D50" s="99"/>
      <c r="E50" s="104"/>
      <c r="F50" s="104"/>
      <c r="G50" s="99"/>
      <c r="H50" s="108"/>
      <c r="I50" s="78"/>
      <c r="J50" s="78"/>
      <c r="K50" s="78"/>
      <c r="L50" s="78"/>
    </row>
    <row r="51" ht="24.0" customHeight="1">
      <c r="A51" s="78"/>
      <c r="B51" s="78"/>
      <c r="C51" s="78"/>
      <c r="D51" s="99"/>
      <c r="E51" s="104"/>
      <c r="F51" s="104"/>
      <c r="G51" s="99"/>
      <c r="H51" s="108"/>
      <c r="I51" s="78"/>
      <c r="J51" s="78"/>
      <c r="K51" s="78"/>
      <c r="L51" s="78"/>
    </row>
    <row r="52" ht="24.0" customHeight="1">
      <c r="A52" s="78"/>
      <c r="B52" s="78"/>
      <c r="C52" s="78"/>
      <c r="D52" s="99"/>
      <c r="E52" s="104"/>
      <c r="F52" s="104"/>
      <c r="G52" s="99"/>
      <c r="H52" s="108"/>
      <c r="I52" s="78"/>
      <c r="J52" s="78"/>
      <c r="K52" s="78"/>
      <c r="L52" s="78"/>
    </row>
    <row r="53" ht="24.0" customHeight="1">
      <c r="A53" s="78"/>
      <c r="B53" s="78"/>
      <c r="C53" s="78"/>
      <c r="D53" s="99"/>
      <c r="E53" s="104"/>
      <c r="F53" s="104"/>
      <c r="G53" s="99"/>
      <c r="H53" s="108"/>
      <c r="I53" s="78"/>
      <c r="J53" s="78"/>
      <c r="K53" s="78"/>
      <c r="L53" s="78"/>
    </row>
    <row r="54" ht="24.0" customHeight="1">
      <c r="A54" s="78"/>
      <c r="B54" s="78"/>
      <c r="C54" s="78"/>
      <c r="D54" s="99"/>
      <c r="E54" s="104"/>
      <c r="F54" s="104"/>
      <c r="G54" s="99"/>
      <c r="H54" s="108"/>
      <c r="I54" s="78"/>
      <c r="J54" s="78"/>
      <c r="K54" s="78"/>
      <c r="L54" s="78"/>
    </row>
    <row r="55" ht="24.0" customHeight="1">
      <c r="A55" s="78"/>
      <c r="B55" s="78"/>
      <c r="C55" s="78"/>
      <c r="D55" s="99"/>
      <c r="E55" s="104"/>
      <c r="F55" s="104"/>
      <c r="G55" s="99"/>
      <c r="H55" s="108"/>
      <c r="I55" s="78"/>
      <c r="J55" s="78"/>
      <c r="K55" s="78"/>
      <c r="L55" s="78"/>
    </row>
    <row r="56" ht="24.0" customHeight="1">
      <c r="A56" s="78"/>
      <c r="B56" s="78"/>
      <c r="C56" s="78"/>
      <c r="D56" s="99"/>
      <c r="E56" s="104"/>
      <c r="F56" s="104"/>
      <c r="G56" s="99"/>
      <c r="H56" s="108"/>
      <c r="I56" s="78"/>
      <c r="J56" s="78"/>
      <c r="K56" s="78"/>
      <c r="L56" s="78"/>
    </row>
    <row r="57" ht="24.0" customHeight="1">
      <c r="A57" s="78"/>
      <c r="B57" s="78"/>
      <c r="C57" s="78"/>
      <c r="D57" s="99"/>
      <c r="E57" s="104"/>
      <c r="F57" s="104"/>
      <c r="G57" s="99"/>
      <c r="H57" s="108"/>
      <c r="I57" s="78"/>
      <c r="J57" s="78"/>
      <c r="K57" s="78"/>
      <c r="L57" s="78"/>
    </row>
    <row r="58" ht="24.0" customHeight="1">
      <c r="A58" s="78"/>
      <c r="B58" s="78"/>
      <c r="C58" s="78"/>
      <c r="D58" s="99"/>
      <c r="E58" s="104"/>
      <c r="F58" s="104"/>
      <c r="G58" s="99"/>
      <c r="H58" s="108"/>
      <c r="I58" s="78"/>
      <c r="J58" s="78"/>
      <c r="K58" s="78"/>
      <c r="L58" s="78"/>
    </row>
    <row r="59" ht="24.0" customHeight="1">
      <c r="A59" s="78"/>
      <c r="B59" s="78"/>
      <c r="C59" s="78"/>
      <c r="D59" s="99"/>
      <c r="E59" s="104"/>
      <c r="F59" s="104"/>
      <c r="G59" s="99"/>
      <c r="H59" s="108"/>
      <c r="I59" s="78"/>
      <c r="J59" s="78"/>
      <c r="K59" s="78"/>
      <c r="L59" s="78"/>
    </row>
    <row r="60" ht="24.0" customHeight="1">
      <c r="A60" s="78"/>
      <c r="B60" s="78"/>
      <c r="C60" s="78"/>
      <c r="D60" s="99"/>
      <c r="E60" s="104"/>
      <c r="F60" s="104"/>
      <c r="G60" s="99"/>
      <c r="H60" s="108"/>
      <c r="I60" s="78"/>
      <c r="J60" s="78"/>
      <c r="K60" s="78"/>
      <c r="L60" s="78"/>
    </row>
    <row r="61" ht="24.0" customHeight="1">
      <c r="A61" s="78"/>
      <c r="B61" s="78"/>
      <c r="C61" s="78"/>
      <c r="D61" s="99"/>
      <c r="E61" s="104"/>
      <c r="F61" s="104"/>
      <c r="G61" s="99"/>
      <c r="H61" s="108"/>
      <c r="I61" s="78"/>
      <c r="J61" s="78"/>
      <c r="K61" s="78"/>
      <c r="L61" s="78"/>
    </row>
    <row r="62" ht="24.0" customHeight="1">
      <c r="A62" s="78"/>
      <c r="B62" s="78"/>
      <c r="C62" s="78"/>
      <c r="D62" s="99"/>
      <c r="E62" s="104"/>
      <c r="F62" s="104"/>
      <c r="G62" s="99"/>
      <c r="H62" s="108"/>
      <c r="I62" s="78"/>
      <c r="J62" s="78"/>
      <c r="K62" s="78"/>
      <c r="L62" s="78"/>
    </row>
    <row r="63" ht="24.0" customHeight="1">
      <c r="A63" s="78"/>
      <c r="B63" s="78"/>
      <c r="C63" s="78"/>
      <c r="D63" s="99"/>
      <c r="E63" s="104"/>
      <c r="F63" s="104"/>
      <c r="G63" s="99"/>
      <c r="H63" s="108"/>
      <c r="I63" s="78"/>
      <c r="J63" s="78"/>
      <c r="K63" s="78"/>
      <c r="L63" s="78"/>
    </row>
    <row r="64" ht="24.0" customHeight="1">
      <c r="A64" s="78"/>
      <c r="B64" s="78"/>
      <c r="C64" s="78"/>
      <c r="D64" s="99"/>
      <c r="E64" s="104"/>
      <c r="F64" s="104"/>
      <c r="G64" s="99"/>
      <c r="H64" s="108"/>
      <c r="I64" s="78"/>
      <c r="J64" s="78"/>
      <c r="K64" s="78"/>
      <c r="L64" s="78"/>
    </row>
    <row r="65" ht="24.0" customHeight="1">
      <c r="A65" s="78"/>
      <c r="B65" s="78"/>
      <c r="C65" s="78"/>
      <c r="D65" s="99"/>
      <c r="E65" s="104"/>
      <c r="F65" s="104"/>
      <c r="G65" s="99"/>
      <c r="H65" s="108"/>
      <c r="I65" s="78"/>
      <c r="J65" s="78"/>
      <c r="K65" s="78"/>
      <c r="L65" s="78"/>
    </row>
    <row r="66" ht="24.0" customHeight="1">
      <c r="A66" s="78"/>
      <c r="B66" s="78"/>
      <c r="C66" s="78"/>
      <c r="D66" s="99"/>
      <c r="E66" s="104"/>
      <c r="F66" s="104"/>
      <c r="G66" s="99"/>
      <c r="H66" s="108"/>
      <c r="I66" s="78"/>
      <c r="J66" s="78"/>
      <c r="K66" s="78"/>
      <c r="L66" s="78"/>
    </row>
    <row r="67" ht="24.0" customHeight="1">
      <c r="A67" s="78"/>
      <c r="B67" s="78"/>
      <c r="C67" s="78"/>
      <c r="D67" s="99"/>
      <c r="E67" s="104"/>
      <c r="F67" s="104"/>
      <c r="G67" s="99"/>
      <c r="H67" s="108"/>
      <c r="I67" s="78"/>
      <c r="J67" s="78"/>
      <c r="K67" s="78"/>
      <c r="L67" s="78"/>
    </row>
    <row r="68" ht="24.0" customHeight="1">
      <c r="A68" s="78"/>
      <c r="B68" s="78"/>
      <c r="C68" s="78"/>
      <c r="D68" s="99"/>
      <c r="E68" s="104"/>
      <c r="F68" s="104"/>
      <c r="G68" s="99"/>
      <c r="H68" s="108"/>
      <c r="I68" s="78"/>
      <c r="J68" s="78"/>
      <c r="K68" s="78"/>
      <c r="L68" s="78"/>
    </row>
    <row r="69" ht="24.0" customHeight="1">
      <c r="A69" s="78"/>
      <c r="B69" s="78"/>
      <c r="C69" s="78"/>
      <c r="D69" s="99"/>
      <c r="E69" s="104"/>
      <c r="F69" s="104"/>
      <c r="G69" s="99"/>
      <c r="H69" s="108"/>
      <c r="I69" s="78"/>
      <c r="J69" s="78"/>
      <c r="K69" s="78"/>
      <c r="L69" s="78"/>
    </row>
    <row r="70" ht="24.0" customHeight="1">
      <c r="A70" s="78"/>
      <c r="B70" s="78"/>
      <c r="C70" s="78"/>
      <c r="D70" s="99"/>
      <c r="E70" s="104"/>
      <c r="F70" s="104"/>
      <c r="G70" s="99"/>
      <c r="H70" s="108"/>
      <c r="I70" s="78"/>
      <c r="J70" s="78"/>
      <c r="K70" s="78"/>
      <c r="L70" s="78"/>
    </row>
    <row r="71" ht="24.0" customHeight="1">
      <c r="A71" s="78"/>
      <c r="B71" s="78"/>
      <c r="C71" s="78"/>
      <c r="D71" s="99"/>
      <c r="E71" s="104"/>
      <c r="F71" s="104"/>
      <c r="G71" s="99"/>
      <c r="H71" s="108"/>
      <c r="I71" s="78"/>
      <c r="J71" s="78"/>
      <c r="K71" s="78"/>
      <c r="L71" s="78"/>
    </row>
    <row r="72" ht="24.0" customHeight="1">
      <c r="A72" s="78"/>
      <c r="B72" s="78"/>
      <c r="C72" s="78"/>
      <c r="D72" s="99"/>
      <c r="E72" s="104"/>
      <c r="F72" s="104"/>
      <c r="G72" s="99"/>
      <c r="H72" s="108"/>
      <c r="I72" s="78"/>
      <c r="J72" s="78"/>
      <c r="K72" s="78"/>
      <c r="L72" s="78"/>
    </row>
    <row r="73" ht="24.0" customHeight="1">
      <c r="A73" s="78"/>
      <c r="B73" s="78"/>
      <c r="C73" s="78"/>
      <c r="D73" s="99"/>
      <c r="E73" s="104"/>
      <c r="F73" s="104"/>
      <c r="G73" s="99"/>
      <c r="H73" s="108"/>
      <c r="I73" s="78"/>
      <c r="J73" s="78"/>
      <c r="K73" s="78"/>
      <c r="L73" s="78"/>
    </row>
    <row r="74" ht="24.0" customHeight="1">
      <c r="A74" s="78"/>
      <c r="B74" s="78"/>
      <c r="C74" s="78"/>
      <c r="D74" s="99"/>
      <c r="E74" s="104"/>
      <c r="F74" s="104"/>
      <c r="G74" s="99"/>
      <c r="H74" s="108"/>
      <c r="I74" s="78"/>
      <c r="J74" s="78"/>
      <c r="K74" s="78"/>
      <c r="L74" s="78"/>
    </row>
    <row r="75" ht="24.0" customHeight="1">
      <c r="A75" s="78"/>
      <c r="B75" s="78"/>
      <c r="C75" s="78"/>
      <c r="D75" s="99"/>
      <c r="E75" s="104"/>
      <c r="F75" s="104"/>
      <c r="G75" s="99"/>
      <c r="H75" s="108"/>
      <c r="I75" s="78"/>
      <c r="J75" s="78"/>
      <c r="K75" s="78"/>
      <c r="L75" s="78"/>
    </row>
    <row r="76" ht="24.0" customHeight="1">
      <c r="A76" s="78"/>
      <c r="B76" s="78"/>
      <c r="C76" s="78"/>
      <c r="D76" s="99"/>
      <c r="E76" s="104"/>
      <c r="F76" s="104"/>
      <c r="G76" s="99"/>
      <c r="H76" s="108"/>
      <c r="I76" s="78"/>
      <c r="J76" s="78"/>
      <c r="K76" s="78"/>
      <c r="L76" s="78"/>
    </row>
    <row r="77" ht="24.0" customHeight="1">
      <c r="A77" s="78"/>
      <c r="B77" s="78"/>
      <c r="C77" s="78"/>
      <c r="D77" s="99"/>
      <c r="E77" s="104"/>
      <c r="F77" s="104"/>
      <c r="G77" s="99"/>
      <c r="H77" s="108"/>
      <c r="I77" s="78"/>
      <c r="J77" s="78"/>
      <c r="K77" s="78"/>
      <c r="L77" s="78"/>
    </row>
    <row r="78" ht="24.0" customHeight="1">
      <c r="A78" s="78"/>
      <c r="B78" s="78"/>
      <c r="C78" s="78"/>
      <c r="D78" s="99"/>
      <c r="E78" s="104"/>
      <c r="F78" s="104"/>
      <c r="G78" s="99"/>
      <c r="H78" s="108"/>
      <c r="I78" s="78"/>
      <c r="J78" s="78"/>
      <c r="K78" s="78"/>
      <c r="L78" s="78"/>
    </row>
    <row r="79" ht="24.0" customHeight="1">
      <c r="A79" s="78"/>
      <c r="B79" s="78"/>
      <c r="C79" s="78"/>
      <c r="D79" s="99"/>
      <c r="E79" s="104"/>
      <c r="F79" s="104"/>
      <c r="G79" s="99"/>
      <c r="H79" s="108"/>
      <c r="I79" s="78"/>
      <c r="J79" s="78"/>
      <c r="K79" s="78"/>
      <c r="L79" s="78"/>
    </row>
    <row r="80" ht="24.0" customHeight="1">
      <c r="A80" s="78"/>
      <c r="B80" s="78"/>
      <c r="C80" s="78"/>
      <c r="D80" s="99"/>
      <c r="E80" s="104"/>
      <c r="F80" s="104"/>
      <c r="G80" s="99"/>
      <c r="H80" s="108"/>
      <c r="I80" s="78"/>
      <c r="J80" s="78"/>
      <c r="K80" s="78"/>
      <c r="L80" s="78"/>
    </row>
    <row r="81" ht="24.0" customHeight="1">
      <c r="A81" s="78"/>
      <c r="B81" s="78"/>
      <c r="C81" s="78"/>
      <c r="D81" s="99"/>
      <c r="E81" s="104"/>
      <c r="F81" s="104"/>
      <c r="G81" s="99"/>
      <c r="H81" s="108"/>
      <c r="I81" s="78"/>
      <c r="J81" s="78"/>
      <c r="K81" s="78"/>
      <c r="L81" s="78"/>
    </row>
    <row r="82" ht="24.0" customHeight="1">
      <c r="A82" s="78"/>
      <c r="B82" s="78"/>
      <c r="C82" s="78"/>
      <c r="D82" s="99"/>
      <c r="E82" s="104"/>
      <c r="F82" s="104"/>
      <c r="G82" s="99"/>
      <c r="H82" s="108"/>
      <c r="I82" s="78"/>
      <c r="J82" s="78"/>
      <c r="K82" s="78"/>
      <c r="L82" s="78"/>
    </row>
    <row r="83" ht="24.0" customHeight="1">
      <c r="A83" s="78"/>
      <c r="B83" s="78"/>
      <c r="C83" s="78"/>
      <c r="D83" s="99"/>
      <c r="E83" s="104"/>
      <c r="F83" s="104"/>
      <c r="G83" s="99"/>
      <c r="H83" s="108"/>
      <c r="I83" s="78"/>
      <c r="J83" s="78"/>
      <c r="K83" s="78"/>
      <c r="L83" s="78"/>
    </row>
    <row r="84" ht="24.0" customHeight="1">
      <c r="A84" s="78"/>
      <c r="B84" s="78"/>
      <c r="C84" s="78"/>
      <c r="D84" s="99"/>
      <c r="E84" s="104"/>
      <c r="F84" s="104"/>
      <c r="G84" s="99"/>
      <c r="H84" s="108"/>
      <c r="I84" s="78"/>
      <c r="J84" s="78"/>
      <c r="K84" s="78"/>
      <c r="L84" s="78"/>
    </row>
    <row r="85" ht="24.0" customHeight="1">
      <c r="A85" s="78"/>
      <c r="B85" s="78"/>
      <c r="C85" s="78"/>
      <c r="D85" s="99"/>
      <c r="E85" s="104"/>
      <c r="F85" s="104"/>
      <c r="G85" s="99"/>
      <c r="H85" s="108"/>
      <c r="I85" s="78"/>
      <c r="J85" s="78"/>
      <c r="K85" s="78"/>
      <c r="L85" s="78"/>
    </row>
    <row r="86" ht="24.0" customHeight="1">
      <c r="A86" s="78"/>
      <c r="B86" s="78"/>
      <c r="C86" s="78"/>
      <c r="D86" s="99"/>
      <c r="E86" s="104"/>
      <c r="F86" s="104"/>
      <c r="G86" s="99"/>
      <c r="H86" s="108"/>
      <c r="I86" s="78"/>
      <c r="J86" s="78"/>
      <c r="K86" s="78"/>
      <c r="L86" s="78"/>
    </row>
    <row r="87" ht="24.0" customHeight="1">
      <c r="A87" s="78"/>
      <c r="B87" s="78"/>
      <c r="C87" s="78"/>
      <c r="D87" s="99"/>
      <c r="E87" s="104"/>
      <c r="F87" s="104"/>
      <c r="G87" s="99"/>
      <c r="H87" s="108"/>
      <c r="I87" s="78"/>
      <c r="J87" s="78"/>
      <c r="K87" s="78"/>
      <c r="L87" s="78"/>
    </row>
    <row r="88" ht="24.0" customHeight="1">
      <c r="A88" s="78"/>
      <c r="B88" s="78"/>
      <c r="C88" s="78"/>
      <c r="D88" s="99"/>
      <c r="E88" s="104"/>
      <c r="F88" s="104"/>
      <c r="G88" s="99"/>
      <c r="H88" s="108"/>
      <c r="I88" s="78"/>
      <c r="J88" s="78"/>
      <c r="K88" s="78"/>
      <c r="L88" s="78"/>
    </row>
    <row r="89" ht="24.0" customHeight="1">
      <c r="A89" s="78"/>
      <c r="B89" s="78"/>
      <c r="C89" s="78"/>
      <c r="D89" s="99"/>
      <c r="E89" s="104"/>
      <c r="F89" s="104"/>
      <c r="G89" s="99"/>
      <c r="H89" s="108"/>
      <c r="I89" s="78"/>
      <c r="J89" s="78"/>
      <c r="K89" s="78"/>
      <c r="L89" s="78"/>
    </row>
    <row r="90" ht="24.0" customHeight="1">
      <c r="A90" s="78"/>
      <c r="B90" s="78"/>
      <c r="C90" s="78"/>
      <c r="D90" s="99"/>
      <c r="E90" s="104"/>
      <c r="F90" s="104"/>
      <c r="G90" s="99"/>
      <c r="H90" s="108"/>
      <c r="I90" s="78"/>
      <c r="J90" s="78"/>
      <c r="K90" s="78"/>
      <c r="L90" s="78"/>
    </row>
    <row r="91" ht="24.0" customHeight="1">
      <c r="A91" s="78"/>
      <c r="B91" s="78"/>
      <c r="C91" s="78"/>
      <c r="D91" s="99"/>
      <c r="E91" s="104"/>
      <c r="F91" s="104"/>
      <c r="G91" s="99"/>
      <c r="H91" s="108"/>
      <c r="I91" s="78"/>
      <c r="J91" s="78"/>
      <c r="K91" s="78"/>
      <c r="L91" s="78"/>
    </row>
    <row r="92" ht="24.0" customHeight="1">
      <c r="A92" s="78"/>
      <c r="B92" s="78"/>
      <c r="C92" s="78"/>
      <c r="D92" s="99"/>
      <c r="E92" s="104"/>
      <c r="F92" s="104"/>
      <c r="G92" s="99"/>
      <c r="H92" s="108"/>
      <c r="I92" s="78"/>
      <c r="J92" s="78"/>
      <c r="K92" s="78"/>
      <c r="L92" s="78"/>
    </row>
    <row r="93" ht="24.0" customHeight="1">
      <c r="A93" s="78"/>
      <c r="B93" s="78"/>
      <c r="C93" s="78"/>
      <c r="D93" s="99"/>
      <c r="E93" s="104"/>
      <c r="F93" s="104"/>
      <c r="G93" s="99"/>
      <c r="H93" s="108"/>
      <c r="I93" s="78"/>
      <c r="J93" s="78"/>
      <c r="K93" s="78"/>
      <c r="L93" s="78"/>
    </row>
    <row r="94" ht="24.0" customHeight="1">
      <c r="A94" s="78"/>
      <c r="B94" s="78"/>
      <c r="C94" s="78"/>
      <c r="D94" s="99"/>
      <c r="E94" s="104"/>
      <c r="F94" s="104"/>
      <c r="G94" s="99"/>
      <c r="H94" s="108"/>
      <c r="I94" s="78"/>
      <c r="J94" s="78"/>
      <c r="K94" s="78"/>
      <c r="L94" s="78"/>
    </row>
    <row r="95" ht="24.0" customHeight="1">
      <c r="A95" s="78"/>
      <c r="B95" s="78"/>
      <c r="C95" s="78"/>
      <c r="D95" s="99"/>
      <c r="E95" s="104"/>
      <c r="F95" s="104"/>
      <c r="G95" s="99"/>
      <c r="H95" s="108"/>
      <c r="I95" s="78"/>
      <c r="J95" s="78"/>
      <c r="K95" s="78"/>
      <c r="L95" s="78"/>
    </row>
    <row r="96" ht="24.0" customHeight="1">
      <c r="A96" s="78"/>
      <c r="B96" s="78"/>
      <c r="C96" s="78"/>
      <c r="D96" s="99"/>
      <c r="E96" s="104"/>
      <c r="F96" s="104"/>
      <c r="G96" s="99"/>
      <c r="H96" s="108"/>
      <c r="I96" s="78"/>
      <c r="J96" s="78"/>
      <c r="K96" s="78"/>
      <c r="L96" s="78"/>
    </row>
    <row r="97" ht="24.0" customHeight="1">
      <c r="A97" s="78"/>
      <c r="B97" s="78"/>
      <c r="C97" s="78"/>
      <c r="D97" s="99"/>
      <c r="E97" s="104"/>
      <c r="F97" s="104"/>
      <c r="G97" s="99"/>
      <c r="H97" s="108"/>
      <c r="I97" s="78"/>
      <c r="J97" s="78"/>
      <c r="K97" s="78"/>
      <c r="L97" s="78"/>
    </row>
    <row r="98" ht="24.0" customHeight="1">
      <c r="A98" s="78"/>
      <c r="B98" s="78"/>
      <c r="C98" s="78"/>
      <c r="D98" s="99"/>
      <c r="E98" s="104"/>
      <c r="F98" s="104"/>
      <c r="G98" s="99"/>
      <c r="H98" s="108"/>
      <c r="I98" s="78"/>
      <c r="J98" s="78"/>
      <c r="K98" s="78"/>
      <c r="L98" s="78"/>
    </row>
    <row r="99" ht="24.0" customHeight="1">
      <c r="A99" s="78"/>
      <c r="B99" s="78"/>
      <c r="C99" s="78"/>
      <c r="D99" s="99"/>
      <c r="E99" s="104"/>
      <c r="F99" s="104"/>
      <c r="G99" s="99"/>
      <c r="H99" s="108"/>
      <c r="I99" s="78"/>
      <c r="J99" s="78"/>
      <c r="K99" s="78"/>
      <c r="L99" s="78"/>
    </row>
    <row r="100" ht="24.0" customHeight="1">
      <c r="A100" s="78"/>
      <c r="B100" s="78"/>
      <c r="C100" s="78"/>
      <c r="D100" s="99"/>
      <c r="E100" s="104"/>
      <c r="F100" s="104"/>
      <c r="G100" s="99"/>
      <c r="H100" s="108"/>
      <c r="I100" s="78"/>
      <c r="J100" s="78"/>
      <c r="K100" s="78"/>
      <c r="L100" s="78"/>
    </row>
    <row r="101" ht="24.0" customHeight="1">
      <c r="A101" s="78"/>
      <c r="B101" s="78"/>
      <c r="C101" s="78"/>
      <c r="D101" s="99"/>
      <c r="E101" s="104"/>
      <c r="F101" s="104"/>
      <c r="G101" s="99"/>
      <c r="H101" s="108"/>
      <c r="I101" s="78"/>
      <c r="J101" s="78"/>
      <c r="K101" s="78"/>
      <c r="L101" s="78"/>
    </row>
    <row r="102" ht="24.0" customHeight="1">
      <c r="A102" s="78"/>
      <c r="B102" s="78"/>
      <c r="C102" s="78"/>
      <c r="D102" s="99"/>
      <c r="E102" s="104"/>
      <c r="F102" s="104"/>
      <c r="G102" s="99"/>
      <c r="H102" s="108"/>
      <c r="I102" s="78"/>
      <c r="J102" s="78"/>
      <c r="K102" s="78"/>
      <c r="L102" s="78"/>
    </row>
    <row r="103" ht="24.0" customHeight="1">
      <c r="A103" s="78"/>
      <c r="B103" s="78"/>
      <c r="C103" s="78"/>
      <c r="D103" s="99"/>
      <c r="E103" s="104"/>
      <c r="F103" s="104"/>
      <c r="G103" s="99"/>
      <c r="H103" s="108"/>
      <c r="I103" s="78"/>
      <c r="J103" s="78"/>
      <c r="K103" s="78"/>
      <c r="L103" s="78"/>
    </row>
    <row r="104" ht="24.0" customHeight="1">
      <c r="A104" s="78"/>
      <c r="B104" s="78"/>
      <c r="C104" s="78"/>
      <c r="D104" s="99"/>
      <c r="E104" s="104"/>
      <c r="F104" s="104"/>
      <c r="G104" s="99"/>
      <c r="H104" s="108"/>
      <c r="I104" s="78"/>
      <c r="J104" s="78"/>
      <c r="K104" s="78"/>
      <c r="L104" s="78"/>
    </row>
    <row r="105" ht="24.0" customHeight="1">
      <c r="A105" s="78"/>
      <c r="B105" s="78"/>
      <c r="C105" s="78"/>
      <c r="D105" s="99"/>
      <c r="E105" s="104"/>
      <c r="F105" s="104"/>
      <c r="G105" s="99"/>
      <c r="H105" s="108"/>
      <c r="I105" s="78"/>
      <c r="J105" s="78"/>
      <c r="K105" s="78"/>
      <c r="L105" s="78"/>
    </row>
    <row r="106" ht="24.0" customHeight="1">
      <c r="A106" s="78"/>
      <c r="B106" s="78"/>
      <c r="C106" s="78"/>
      <c r="D106" s="99"/>
      <c r="E106" s="104"/>
      <c r="F106" s="104"/>
      <c r="G106" s="99"/>
      <c r="H106" s="108"/>
      <c r="I106" s="78"/>
      <c r="J106" s="78"/>
      <c r="K106" s="78"/>
      <c r="L106" s="78"/>
    </row>
    <row r="107" ht="24.0" customHeight="1">
      <c r="A107" s="78"/>
      <c r="B107" s="78"/>
      <c r="C107" s="78"/>
      <c r="D107" s="99"/>
      <c r="E107" s="104"/>
      <c r="F107" s="104"/>
      <c r="G107" s="99"/>
      <c r="H107" s="108"/>
      <c r="I107" s="78"/>
      <c r="J107" s="78"/>
      <c r="K107" s="78"/>
      <c r="L107" s="78"/>
    </row>
    <row r="108" ht="24.0" customHeight="1">
      <c r="A108" s="78"/>
      <c r="B108" s="78"/>
      <c r="C108" s="78"/>
      <c r="D108" s="99"/>
      <c r="E108" s="104"/>
      <c r="F108" s="104"/>
      <c r="G108" s="99"/>
      <c r="H108" s="108"/>
      <c r="I108" s="78"/>
      <c r="J108" s="78"/>
      <c r="K108" s="78"/>
      <c r="L108" s="78"/>
    </row>
    <row r="109" ht="24.0" customHeight="1">
      <c r="A109" s="78"/>
      <c r="B109" s="78"/>
      <c r="C109" s="78"/>
      <c r="D109" s="99"/>
      <c r="E109" s="104"/>
      <c r="F109" s="104"/>
      <c r="G109" s="99"/>
      <c r="H109" s="108"/>
      <c r="I109" s="78"/>
      <c r="J109" s="78"/>
      <c r="K109" s="78"/>
      <c r="L109" s="78"/>
    </row>
    <row r="110" ht="24.0" customHeight="1">
      <c r="A110" s="78"/>
      <c r="B110" s="78"/>
      <c r="C110" s="78"/>
      <c r="D110" s="99"/>
      <c r="E110" s="104"/>
      <c r="F110" s="104"/>
      <c r="G110" s="99"/>
      <c r="H110" s="108"/>
      <c r="I110" s="78"/>
      <c r="J110" s="78"/>
      <c r="K110" s="78"/>
      <c r="L110" s="78"/>
    </row>
    <row r="111" ht="24.0" customHeight="1">
      <c r="A111" s="78"/>
      <c r="B111" s="78"/>
      <c r="C111" s="78"/>
      <c r="D111" s="99"/>
      <c r="E111" s="104"/>
      <c r="F111" s="104"/>
      <c r="G111" s="99"/>
      <c r="H111" s="108"/>
      <c r="I111" s="78"/>
      <c r="J111" s="78"/>
      <c r="K111" s="78"/>
      <c r="L111" s="78"/>
    </row>
    <row r="112" ht="24.0" customHeight="1">
      <c r="A112" s="78"/>
      <c r="B112" s="78"/>
      <c r="C112" s="78"/>
      <c r="D112" s="99"/>
      <c r="E112" s="104"/>
      <c r="F112" s="104"/>
      <c r="G112" s="99"/>
      <c r="H112" s="108"/>
      <c r="I112" s="78"/>
      <c r="J112" s="78"/>
      <c r="K112" s="78"/>
      <c r="L112" s="78"/>
    </row>
    <row r="113" ht="24.0" customHeight="1">
      <c r="A113" s="78"/>
      <c r="B113" s="78"/>
      <c r="C113" s="78"/>
      <c r="D113" s="99"/>
      <c r="E113" s="104"/>
      <c r="F113" s="104"/>
      <c r="G113" s="99"/>
      <c r="H113" s="108"/>
      <c r="I113" s="78"/>
      <c r="J113" s="78"/>
      <c r="K113" s="78"/>
      <c r="L113" s="78"/>
    </row>
    <row r="114" ht="24.0" customHeight="1">
      <c r="A114" s="78"/>
      <c r="B114" s="78"/>
      <c r="C114" s="78"/>
      <c r="D114" s="99"/>
      <c r="E114" s="104"/>
      <c r="F114" s="104"/>
      <c r="G114" s="99"/>
      <c r="H114" s="108"/>
      <c r="I114" s="78"/>
      <c r="J114" s="78"/>
      <c r="K114" s="78"/>
      <c r="L114" s="78"/>
    </row>
    <row r="115" ht="24.0" customHeight="1">
      <c r="A115" s="78"/>
      <c r="B115" s="78"/>
      <c r="C115" s="78"/>
      <c r="D115" s="99"/>
      <c r="E115" s="104"/>
      <c r="F115" s="104"/>
      <c r="G115" s="99"/>
      <c r="H115" s="108"/>
      <c r="I115" s="78"/>
      <c r="J115" s="78"/>
      <c r="K115" s="78"/>
      <c r="L115" s="78"/>
    </row>
    <row r="116" ht="24.0" customHeight="1">
      <c r="A116" s="78"/>
      <c r="B116" s="78"/>
      <c r="C116" s="78"/>
      <c r="D116" s="99"/>
      <c r="E116" s="104"/>
      <c r="F116" s="104"/>
      <c r="G116" s="99"/>
      <c r="H116" s="108"/>
      <c r="I116" s="78"/>
      <c r="J116" s="78"/>
      <c r="K116" s="78"/>
      <c r="L116" s="78"/>
    </row>
    <row r="117" ht="24.0" customHeight="1">
      <c r="A117" s="78"/>
      <c r="B117" s="78"/>
      <c r="C117" s="78"/>
      <c r="D117" s="99"/>
      <c r="E117" s="104"/>
      <c r="F117" s="104"/>
      <c r="G117" s="99"/>
      <c r="H117" s="108"/>
      <c r="I117" s="78"/>
      <c r="J117" s="78"/>
      <c r="K117" s="78"/>
      <c r="L117" s="78"/>
    </row>
    <row r="118" ht="24.0" customHeight="1">
      <c r="A118" s="78"/>
      <c r="B118" s="78"/>
      <c r="C118" s="78"/>
      <c r="D118" s="99"/>
      <c r="E118" s="104"/>
      <c r="F118" s="104"/>
      <c r="G118" s="99"/>
      <c r="H118" s="108"/>
      <c r="I118" s="78"/>
      <c r="J118" s="78"/>
      <c r="K118" s="78"/>
      <c r="L118" s="78"/>
    </row>
    <row r="119" ht="24.0" customHeight="1">
      <c r="A119" s="78"/>
      <c r="B119" s="78"/>
      <c r="C119" s="78"/>
      <c r="D119" s="99"/>
      <c r="E119" s="104"/>
      <c r="F119" s="104"/>
      <c r="G119" s="99"/>
      <c r="H119" s="108"/>
      <c r="I119" s="78"/>
      <c r="J119" s="78"/>
      <c r="K119" s="78"/>
      <c r="L119" s="78"/>
    </row>
    <row r="120" ht="24.0" customHeight="1">
      <c r="A120" s="78"/>
      <c r="B120" s="78"/>
      <c r="C120" s="78"/>
      <c r="D120" s="99"/>
      <c r="E120" s="104"/>
      <c r="F120" s="104"/>
      <c r="G120" s="99"/>
      <c r="H120" s="108"/>
      <c r="I120" s="78"/>
      <c r="J120" s="78"/>
      <c r="K120" s="78"/>
      <c r="L120" s="78"/>
    </row>
    <row r="121" ht="24.0" customHeight="1">
      <c r="A121" s="78"/>
      <c r="B121" s="78"/>
      <c r="C121" s="78"/>
      <c r="D121" s="99"/>
      <c r="E121" s="104"/>
      <c r="F121" s="104"/>
      <c r="G121" s="99"/>
      <c r="H121" s="108"/>
      <c r="I121" s="78"/>
      <c r="J121" s="78"/>
      <c r="K121" s="78"/>
      <c r="L121" s="78"/>
    </row>
    <row r="122" ht="24.0" customHeight="1">
      <c r="A122" s="78"/>
      <c r="B122" s="78"/>
      <c r="C122" s="78"/>
      <c r="D122" s="99"/>
      <c r="E122" s="104"/>
      <c r="F122" s="104"/>
      <c r="G122" s="99"/>
      <c r="H122" s="108"/>
      <c r="I122" s="78"/>
      <c r="J122" s="78"/>
      <c r="K122" s="78"/>
      <c r="L122" s="78"/>
    </row>
    <row r="123" ht="24.0" customHeight="1">
      <c r="A123" s="78"/>
      <c r="B123" s="78"/>
      <c r="C123" s="78"/>
      <c r="D123" s="99"/>
      <c r="E123" s="104"/>
      <c r="F123" s="104"/>
      <c r="G123" s="99"/>
      <c r="H123" s="108"/>
      <c r="I123" s="78"/>
      <c r="J123" s="78"/>
      <c r="K123" s="78"/>
      <c r="L123" s="78"/>
    </row>
    <row r="124" ht="24.0" customHeight="1">
      <c r="A124" s="78"/>
      <c r="B124" s="78"/>
      <c r="C124" s="78"/>
      <c r="D124" s="99"/>
      <c r="E124" s="104"/>
      <c r="F124" s="104"/>
      <c r="G124" s="99"/>
      <c r="H124" s="108"/>
      <c r="I124" s="78"/>
      <c r="J124" s="78"/>
      <c r="K124" s="78"/>
      <c r="L124" s="78"/>
    </row>
    <row r="125" ht="24.0" customHeight="1">
      <c r="A125" s="78"/>
      <c r="B125" s="78"/>
      <c r="C125" s="78"/>
      <c r="D125" s="99"/>
      <c r="E125" s="104"/>
      <c r="F125" s="104"/>
      <c r="G125" s="99"/>
      <c r="H125" s="108"/>
      <c r="I125" s="78"/>
      <c r="J125" s="78"/>
      <c r="K125" s="78"/>
      <c r="L125" s="78"/>
    </row>
    <row r="126" ht="24.0" customHeight="1">
      <c r="A126" s="78"/>
      <c r="B126" s="78"/>
      <c r="C126" s="78"/>
      <c r="D126" s="99"/>
      <c r="E126" s="104"/>
      <c r="F126" s="104"/>
      <c r="G126" s="99"/>
      <c r="H126" s="108"/>
      <c r="I126" s="78"/>
      <c r="J126" s="78"/>
      <c r="K126" s="78"/>
      <c r="L126" s="78"/>
    </row>
    <row r="127" ht="24.0" customHeight="1">
      <c r="A127" s="78"/>
      <c r="B127" s="78"/>
      <c r="C127" s="78"/>
      <c r="D127" s="99"/>
      <c r="E127" s="104"/>
      <c r="F127" s="104"/>
      <c r="G127" s="99"/>
      <c r="H127" s="108"/>
      <c r="I127" s="78"/>
      <c r="J127" s="78"/>
      <c r="K127" s="78"/>
      <c r="L127" s="78"/>
    </row>
    <row r="128" ht="24.0" customHeight="1">
      <c r="A128" s="78"/>
      <c r="B128" s="78"/>
      <c r="C128" s="78"/>
      <c r="D128" s="99"/>
      <c r="E128" s="104"/>
      <c r="F128" s="104"/>
      <c r="G128" s="99"/>
      <c r="H128" s="108"/>
      <c r="I128" s="78"/>
      <c r="J128" s="78"/>
      <c r="K128" s="78"/>
      <c r="L128" s="78"/>
    </row>
    <row r="129" ht="24.0" customHeight="1">
      <c r="A129" s="78"/>
      <c r="B129" s="78"/>
      <c r="C129" s="78"/>
      <c r="D129" s="99"/>
      <c r="E129" s="104"/>
      <c r="F129" s="104"/>
      <c r="G129" s="99"/>
      <c r="H129" s="108"/>
      <c r="I129" s="78"/>
      <c r="J129" s="78"/>
      <c r="K129" s="78"/>
      <c r="L129" s="78"/>
    </row>
    <row r="130" ht="24.0" customHeight="1">
      <c r="A130" s="78"/>
      <c r="B130" s="78"/>
      <c r="C130" s="78"/>
      <c r="D130" s="99"/>
      <c r="E130" s="104"/>
      <c r="F130" s="104"/>
      <c r="G130" s="99"/>
      <c r="H130" s="108"/>
      <c r="I130" s="78"/>
      <c r="J130" s="78"/>
      <c r="K130" s="78"/>
      <c r="L130" s="78"/>
    </row>
    <row r="131" ht="24.0" customHeight="1">
      <c r="A131" s="78"/>
      <c r="B131" s="78"/>
      <c r="C131" s="78"/>
      <c r="D131" s="99"/>
      <c r="E131" s="104"/>
      <c r="F131" s="104"/>
      <c r="G131" s="99"/>
      <c r="H131" s="108"/>
      <c r="I131" s="78"/>
      <c r="J131" s="78"/>
      <c r="K131" s="78"/>
      <c r="L131" s="78"/>
    </row>
    <row r="132" ht="24.0" customHeight="1">
      <c r="A132" s="78"/>
      <c r="B132" s="78"/>
      <c r="C132" s="78"/>
      <c r="D132" s="99"/>
      <c r="E132" s="104"/>
      <c r="F132" s="104"/>
      <c r="G132" s="99"/>
      <c r="H132" s="108"/>
      <c r="I132" s="78"/>
      <c r="J132" s="78"/>
      <c r="K132" s="78"/>
      <c r="L132" s="78"/>
    </row>
    <row r="133" ht="24.0" customHeight="1">
      <c r="A133" s="78"/>
      <c r="B133" s="78"/>
      <c r="C133" s="78"/>
      <c r="D133" s="99"/>
      <c r="E133" s="104"/>
      <c r="F133" s="104"/>
      <c r="G133" s="99"/>
      <c r="H133" s="108"/>
      <c r="I133" s="78"/>
      <c r="J133" s="78"/>
      <c r="K133" s="78"/>
      <c r="L133" s="78"/>
    </row>
    <row r="134" ht="24.0" customHeight="1">
      <c r="A134" s="78"/>
      <c r="B134" s="78"/>
      <c r="C134" s="78"/>
      <c r="D134" s="99"/>
      <c r="E134" s="104"/>
      <c r="F134" s="104"/>
      <c r="G134" s="99"/>
      <c r="H134" s="108"/>
      <c r="I134" s="78"/>
      <c r="J134" s="78"/>
      <c r="K134" s="78"/>
      <c r="L134" s="78"/>
    </row>
    <row r="135" ht="24.0" customHeight="1">
      <c r="A135" s="78"/>
      <c r="B135" s="78"/>
      <c r="C135" s="78"/>
      <c r="D135" s="99"/>
      <c r="E135" s="104"/>
      <c r="F135" s="104"/>
      <c r="G135" s="99"/>
      <c r="H135" s="108"/>
      <c r="I135" s="78"/>
      <c r="J135" s="78"/>
      <c r="K135" s="78"/>
      <c r="L135" s="78"/>
    </row>
    <row r="136" ht="24.0" customHeight="1">
      <c r="A136" s="78"/>
      <c r="B136" s="78"/>
      <c r="C136" s="78"/>
      <c r="D136" s="99"/>
      <c r="E136" s="104"/>
      <c r="F136" s="104"/>
      <c r="G136" s="99"/>
      <c r="H136" s="108"/>
      <c r="I136" s="78"/>
      <c r="J136" s="78"/>
      <c r="K136" s="78"/>
      <c r="L136" s="78"/>
    </row>
    <row r="137" ht="24.0" customHeight="1">
      <c r="A137" s="78"/>
      <c r="B137" s="78"/>
      <c r="C137" s="78"/>
      <c r="D137" s="99"/>
      <c r="E137" s="104"/>
      <c r="F137" s="104"/>
      <c r="G137" s="99"/>
      <c r="H137" s="108"/>
      <c r="I137" s="78"/>
      <c r="J137" s="78"/>
      <c r="K137" s="78"/>
      <c r="L137" s="78"/>
    </row>
    <row r="138" ht="24.0" customHeight="1">
      <c r="A138" s="78"/>
      <c r="B138" s="78"/>
      <c r="C138" s="78"/>
      <c r="D138" s="99"/>
      <c r="E138" s="104"/>
      <c r="F138" s="104"/>
      <c r="G138" s="99"/>
      <c r="H138" s="108"/>
      <c r="I138" s="78"/>
      <c r="J138" s="78"/>
      <c r="K138" s="78"/>
      <c r="L138" s="78"/>
    </row>
    <row r="139" ht="24.0" customHeight="1">
      <c r="A139" s="78"/>
      <c r="B139" s="78"/>
      <c r="C139" s="78"/>
      <c r="D139" s="99"/>
      <c r="E139" s="104"/>
      <c r="F139" s="104"/>
      <c r="G139" s="99"/>
      <c r="H139" s="108"/>
      <c r="I139" s="78"/>
      <c r="J139" s="78"/>
      <c r="K139" s="78"/>
      <c r="L139" s="78"/>
    </row>
    <row r="140" ht="24.0" customHeight="1">
      <c r="A140" s="78"/>
      <c r="B140" s="78"/>
      <c r="C140" s="78"/>
      <c r="D140" s="99"/>
      <c r="E140" s="104"/>
      <c r="F140" s="104"/>
      <c r="G140" s="99"/>
      <c r="H140" s="108"/>
      <c r="I140" s="78"/>
      <c r="J140" s="78"/>
      <c r="K140" s="78"/>
      <c r="L140" s="78"/>
    </row>
    <row r="141" ht="24.0" customHeight="1">
      <c r="A141" s="78"/>
      <c r="B141" s="78"/>
      <c r="C141" s="78"/>
      <c r="D141" s="99"/>
      <c r="E141" s="104"/>
      <c r="F141" s="104"/>
      <c r="G141" s="99"/>
      <c r="H141" s="108"/>
      <c r="I141" s="78"/>
      <c r="J141" s="78"/>
      <c r="K141" s="78"/>
      <c r="L141" s="78"/>
    </row>
    <row r="142" ht="24.0" customHeight="1">
      <c r="A142" s="78"/>
      <c r="B142" s="78"/>
      <c r="C142" s="78"/>
      <c r="D142" s="99"/>
      <c r="E142" s="104"/>
      <c r="F142" s="104"/>
      <c r="G142" s="99"/>
      <c r="H142" s="108"/>
      <c r="I142" s="78"/>
      <c r="J142" s="78"/>
      <c r="K142" s="78"/>
      <c r="L142" s="78"/>
    </row>
    <row r="143" ht="24.0" customHeight="1">
      <c r="A143" s="78"/>
      <c r="B143" s="78"/>
      <c r="C143" s="78"/>
      <c r="D143" s="99"/>
      <c r="E143" s="104"/>
      <c r="F143" s="104"/>
      <c r="G143" s="99"/>
      <c r="H143" s="108"/>
      <c r="I143" s="78"/>
      <c r="J143" s="78"/>
      <c r="K143" s="78"/>
      <c r="L143" s="78"/>
    </row>
    <row r="144" ht="24.0" customHeight="1">
      <c r="A144" s="78"/>
      <c r="B144" s="78"/>
      <c r="C144" s="78"/>
      <c r="D144" s="99"/>
      <c r="E144" s="104"/>
      <c r="F144" s="104"/>
      <c r="G144" s="99"/>
      <c r="H144" s="108"/>
      <c r="I144" s="78"/>
      <c r="J144" s="78"/>
      <c r="K144" s="78"/>
      <c r="L144" s="78"/>
    </row>
    <row r="145" ht="24.0" customHeight="1">
      <c r="A145" s="78"/>
      <c r="B145" s="78"/>
      <c r="C145" s="78"/>
      <c r="D145" s="99"/>
      <c r="E145" s="104"/>
      <c r="F145" s="104"/>
      <c r="G145" s="99"/>
      <c r="H145" s="108"/>
      <c r="I145" s="78"/>
      <c r="J145" s="78"/>
      <c r="K145" s="78"/>
      <c r="L145" s="78"/>
    </row>
    <row r="146" ht="24.0" customHeight="1">
      <c r="A146" s="78"/>
      <c r="B146" s="78"/>
      <c r="C146" s="78"/>
      <c r="D146" s="99"/>
      <c r="E146" s="104"/>
      <c r="F146" s="104"/>
      <c r="G146" s="99"/>
      <c r="H146" s="108"/>
      <c r="I146" s="78"/>
      <c r="J146" s="78"/>
      <c r="K146" s="78"/>
      <c r="L146" s="78"/>
    </row>
    <row r="147" ht="24.0" customHeight="1">
      <c r="A147" s="78"/>
      <c r="B147" s="78"/>
      <c r="C147" s="78"/>
      <c r="D147" s="99"/>
      <c r="E147" s="104"/>
      <c r="F147" s="104"/>
      <c r="G147" s="99"/>
      <c r="H147" s="108"/>
      <c r="I147" s="78"/>
      <c r="J147" s="78"/>
      <c r="K147" s="78"/>
      <c r="L147" s="78"/>
    </row>
    <row r="148" ht="24.0" customHeight="1">
      <c r="A148" s="78"/>
      <c r="B148" s="78"/>
      <c r="C148" s="78"/>
      <c r="D148" s="99"/>
      <c r="E148" s="104"/>
      <c r="F148" s="104"/>
      <c r="G148" s="99"/>
      <c r="H148" s="108"/>
      <c r="I148" s="78"/>
      <c r="J148" s="78"/>
      <c r="K148" s="78"/>
      <c r="L148" s="78"/>
    </row>
    <row r="149" ht="24.0" customHeight="1">
      <c r="A149" s="78"/>
      <c r="B149" s="78"/>
      <c r="C149" s="78"/>
      <c r="D149" s="99"/>
      <c r="E149" s="104"/>
      <c r="F149" s="104"/>
      <c r="G149" s="99"/>
      <c r="H149" s="108"/>
      <c r="I149" s="78"/>
      <c r="J149" s="78"/>
      <c r="K149" s="78"/>
      <c r="L149" s="78"/>
    </row>
    <row r="150" ht="24.0" customHeight="1">
      <c r="A150" s="78"/>
      <c r="B150" s="78"/>
      <c r="C150" s="78"/>
      <c r="D150" s="99"/>
      <c r="E150" s="104"/>
      <c r="F150" s="104"/>
      <c r="G150" s="99"/>
      <c r="H150" s="108"/>
      <c r="I150" s="78"/>
      <c r="J150" s="78"/>
      <c r="K150" s="78"/>
      <c r="L150" s="78"/>
    </row>
    <row r="151" ht="24.0" customHeight="1">
      <c r="A151" s="78"/>
      <c r="B151" s="78"/>
      <c r="C151" s="78"/>
      <c r="D151" s="99"/>
      <c r="E151" s="104"/>
      <c r="F151" s="104"/>
      <c r="G151" s="99"/>
      <c r="H151" s="108"/>
      <c r="I151" s="78"/>
      <c r="J151" s="78"/>
      <c r="K151" s="78"/>
      <c r="L151" s="78"/>
    </row>
    <row r="152" ht="24.0" customHeight="1">
      <c r="A152" s="78"/>
      <c r="B152" s="78"/>
      <c r="C152" s="78"/>
      <c r="D152" s="99"/>
      <c r="E152" s="104"/>
      <c r="F152" s="104"/>
      <c r="G152" s="99"/>
      <c r="H152" s="108"/>
      <c r="I152" s="78"/>
      <c r="J152" s="78"/>
      <c r="K152" s="78"/>
      <c r="L152" s="78"/>
    </row>
    <row r="153" ht="24.0" customHeight="1">
      <c r="A153" s="78"/>
      <c r="B153" s="78"/>
      <c r="C153" s="78"/>
      <c r="D153" s="99"/>
      <c r="E153" s="104"/>
      <c r="F153" s="104"/>
      <c r="G153" s="99"/>
      <c r="H153" s="108"/>
      <c r="I153" s="78"/>
      <c r="J153" s="78"/>
      <c r="K153" s="78"/>
      <c r="L153" s="78"/>
    </row>
    <row r="154" ht="24.0" customHeight="1">
      <c r="A154" s="78"/>
      <c r="B154" s="78"/>
      <c r="C154" s="78"/>
      <c r="D154" s="99"/>
      <c r="E154" s="104"/>
      <c r="F154" s="104"/>
      <c r="G154" s="99"/>
      <c r="H154" s="108"/>
      <c r="I154" s="78"/>
      <c r="J154" s="78"/>
      <c r="K154" s="78"/>
      <c r="L154" s="78"/>
    </row>
    <row r="155" ht="24.0" customHeight="1">
      <c r="A155" s="78"/>
      <c r="B155" s="78"/>
      <c r="C155" s="78"/>
      <c r="D155" s="99"/>
      <c r="E155" s="104"/>
      <c r="F155" s="104"/>
      <c r="G155" s="99"/>
      <c r="H155" s="108"/>
      <c r="I155" s="78"/>
      <c r="J155" s="78"/>
      <c r="K155" s="78"/>
      <c r="L155" s="78"/>
    </row>
    <row r="156" ht="24.0" customHeight="1">
      <c r="A156" s="78"/>
      <c r="B156" s="78"/>
      <c r="C156" s="78"/>
      <c r="D156" s="99"/>
      <c r="E156" s="104"/>
      <c r="F156" s="104"/>
      <c r="G156" s="99"/>
      <c r="H156" s="108"/>
      <c r="I156" s="78"/>
      <c r="J156" s="78"/>
      <c r="K156" s="78"/>
      <c r="L156" s="78"/>
    </row>
    <row r="157" ht="24.0" customHeight="1">
      <c r="A157" s="78"/>
      <c r="B157" s="78"/>
      <c r="C157" s="78"/>
      <c r="D157" s="99"/>
      <c r="E157" s="104"/>
      <c r="F157" s="104"/>
      <c r="G157" s="99"/>
      <c r="H157" s="108"/>
      <c r="I157" s="78"/>
      <c r="J157" s="78"/>
      <c r="K157" s="78"/>
      <c r="L157" s="78"/>
    </row>
    <row r="158" ht="24.0" customHeight="1">
      <c r="A158" s="78"/>
      <c r="B158" s="78"/>
      <c r="C158" s="78"/>
      <c r="D158" s="99"/>
      <c r="E158" s="104"/>
      <c r="F158" s="104"/>
      <c r="G158" s="99"/>
      <c r="H158" s="108"/>
      <c r="I158" s="78"/>
      <c r="J158" s="78"/>
      <c r="K158" s="78"/>
      <c r="L158" s="78"/>
    </row>
    <row r="159" ht="24.0" customHeight="1">
      <c r="A159" s="78"/>
      <c r="B159" s="78"/>
      <c r="C159" s="78"/>
      <c r="D159" s="99"/>
      <c r="E159" s="104"/>
      <c r="F159" s="104"/>
      <c r="G159" s="99"/>
      <c r="H159" s="108"/>
      <c r="I159" s="78"/>
      <c r="J159" s="78"/>
      <c r="K159" s="78"/>
      <c r="L159" s="78"/>
    </row>
    <row r="160" ht="24.0" customHeight="1">
      <c r="A160" s="78"/>
      <c r="B160" s="78"/>
      <c r="C160" s="78"/>
      <c r="D160" s="99"/>
      <c r="E160" s="104"/>
      <c r="F160" s="104"/>
      <c r="G160" s="99"/>
      <c r="H160" s="108"/>
      <c r="I160" s="78"/>
      <c r="J160" s="78"/>
      <c r="K160" s="78"/>
      <c r="L160" s="78"/>
    </row>
    <row r="161" ht="24.0" customHeight="1">
      <c r="A161" s="78"/>
      <c r="B161" s="78"/>
      <c r="C161" s="78"/>
      <c r="D161" s="99"/>
      <c r="E161" s="104"/>
      <c r="F161" s="104"/>
      <c r="G161" s="99"/>
      <c r="H161" s="108"/>
      <c r="I161" s="78"/>
      <c r="J161" s="78"/>
      <c r="K161" s="78"/>
      <c r="L161" s="78"/>
    </row>
    <row r="162" ht="24.0" customHeight="1">
      <c r="A162" s="78"/>
      <c r="B162" s="78"/>
      <c r="C162" s="78"/>
      <c r="D162" s="99"/>
      <c r="E162" s="104"/>
      <c r="F162" s="104"/>
      <c r="G162" s="99"/>
      <c r="H162" s="108"/>
      <c r="I162" s="78"/>
      <c r="J162" s="78"/>
      <c r="K162" s="78"/>
      <c r="L162" s="78"/>
    </row>
    <row r="163" ht="24.0" customHeight="1">
      <c r="A163" s="78"/>
      <c r="B163" s="78"/>
      <c r="C163" s="78"/>
      <c r="D163" s="99"/>
      <c r="E163" s="104"/>
      <c r="F163" s="104"/>
      <c r="G163" s="99"/>
      <c r="H163" s="108"/>
      <c r="I163" s="78"/>
      <c r="J163" s="78"/>
      <c r="K163" s="78"/>
      <c r="L163" s="78"/>
    </row>
    <row r="164" ht="24.0" customHeight="1">
      <c r="A164" s="78"/>
      <c r="B164" s="78"/>
      <c r="C164" s="78"/>
      <c r="D164" s="99"/>
      <c r="E164" s="104"/>
      <c r="F164" s="104"/>
      <c r="G164" s="99"/>
      <c r="H164" s="108"/>
      <c r="I164" s="78"/>
      <c r="J164" s="78"/>
      <c r="K164" s="78"/>
      <c r="L164" s="78"/>
    </row>
    <row r="165" ht="24.0" customHeight="1">
      <c r="A165" s="78"/>
      <c r="B165" s="78"/>
      <c r="C165" s="78"/>
      <c r="D165" s="99"/>
      <c r="E165" s="104"/>
      <c r="F165" s="104"/>
      <c r="G165" s="99"/>
      <c r="H165" s="108"/>
      <c r="I165" s="78"/>
      <c r="J165" s="78"/>
      <c r="K165" s="78"/>
      <c r="L165" s="78"/>
    </row>
    <row r="166" ht="24.0" customHeight="1">
      <c r="A166" s="78"/>
      <c r="B166" s="78"/>
      <c r="C166" s="78"/>
      <c r="D166" s="99"/>
      <c r="E166" s="104"/>
      <c r="F166" s="104"/>
      <c r="G166" s="99"/>
      <c r="H166" s="108"/>
      <c r="I166" s="78"/>
      <c r="J166" s="78"/>
      <c r="K166" s="78"/>
      <c r="L166" s="78"/>
    </row>
    <row r="167" ht="24.0" customHeight="1">
      <c r="A167" s="78"/>
      <c r="B167" s="78"/>
      <c r="C167" s="78"/>
      <c r="D167" s="99"/>
      <c r="E167" s="104"/>
      <c r="F167" s="104"/>
      <c r="G167" s="99"/>
      <c r="H167" s="108"/>
      <c r="I167" s="78"/>
      <c r="J167" s="78"/>
      <c r="K167" s="78"/>
      <c r="L167" s="78"/>
    </row>
    <row r="168" ht="24.0" customHeight="1">
      <c r="A168" s="78"/>
      <c r="B168" s="78"/>
      <c r="C168" s="78"/>
      <c r="D168" s="99"/>
      <c r="E168" s="104"/>
      <c r="F168" s="104"/>
      <c r="G168" s="99"/>
      <c r="H168" s="108"/>
      <c r="I168" s="78"/>
      <c r="J168" s="78"/>
      <c r="K168" s="78"/>
      <c r="L168" s="78"/>
    </row>
    <row r="169" ht="24.0" customHeight="1">
      <c r="A169" s="78"/>
      <c r="B169" s="78"/>
      <c r="C169" s="78"/>
      <c r="D169" s="99"/>
      <c r="E169" s="104"/>
      <c r="F169" s="104"/>
      <c r="G169" s="99"/>
      <c r="H169" s="108"/>
      <c r="I169" s="78"/>
      <c r="J169" s="78"/>
      <c r="K169" s="78"/>
      <c r="L169" s="78"/>
    </row>
    <row r="170" ht="24.0" customHeight="1">
      <c r="A170" s="78"/>
      <c r="B170" s="78"/>
      <c r="C170" s="78"/>
      <c r="D170" s="99"/>
      <c r="E170" s="104"/>
      <c r="F170" s="104"/>
      <c r="G170" s="99"/>
      <c r="H170" s="108"/>
      <c r="I170" s="78"/>
      <c r="J170" s="78"/>
      <c r="K170" s="78"/>
      <c r="L170" s="78"/>
    </row>
    <row r="171" ht="24.0" customHeight="1">
      <c r="A171" s="78"/>
      <c r="B171" s="78"/>
      <c r="C171" s="78"/>
      <c r="D171" s="99"/>
      <c r="E171" s="104"/>
      <c r="F171" s="104"/>
      <c r="G171" s="99"/>
      <c r="H171" s="108"/>
      <c r="I171" s="78"/>
      <c r="J171" s="78"/>
      <c r="K171" s="78"/>
      <c r="L171" s="78"/>
    </row>
    <row r="172" ht="24.0" customHeight="1">
      <c r="A172" s="78"/>
      <c r="B172" s="78"/>
      <c r="C172" s="78"/>
      <c r="D172" s="99"/>
      <c r="E172" s="104"/>
      <c r="F172" s="104"/>
      <c r="G172" s="99"/>
      <c r="H172" s="108"/>
      <c r="I172" s="78"/>
      <c r="J172" s="78"/>
      <c r="K172" s="78"/>
      <c r="L172" s="78"/>
    </row>
    <row r="173" ht="24.0" customHeight="1">
      <c r="A173" s="78"/>
      <c r="B173" s="78"/>
      <c r="C173" s="78"/>
      <c r="D173" s="99"/>
      <c r="E173" s="104"/>
      <c r="F173" s="104"/>
      <c r="G173" s="99"/>
      <c r="H173" s="108"/>
      <c r="I173" s="78"/>
      <c r="J173" s="78"/>
      <c r="K173" s="78"/>
      <c r="L173" s="78"/>
    </row>
    <row r="174" ht="24.0" customHeight="1">
      <c r="A174" s="78"/>
      <c r="B174" s="78"/>
      <c r="C174" s="78"/>
      <c r="D174" s="99"/>
      <c r="E174" s="104"/>
      <c r="F174" s="104"/>
      <c r="G174" s="99"/>
      <c r="H174" s="108"/>
      <c r="I174" s="78"/>
      <c r="J174" s="78"/>
      <c r="K174" s="78"/>
      <c r="L174" s="78"/>
    </row>
    <row r="175" ht="24.0" customHeight="1">
      <c r="A175" s="78"/>
      <c r="B175" s="78"/>
      <c r="C175" s="78"/>
      <c r="D175" s="99"/>
      <c r="E175" s="104"/>
      <c r="F175" s="104"/>
      <c r="G175" s="99"/>
      <c r="H175" s="108"/>
      <c r="I175" s="78"/>
      <c r="J175" s="78"/>
      <c r="K175" s="78"/>
      <c r="L175" s="78"/>
    </row>
    <row r="176" ht="24.0" customHeight="1">
      <c r="A176" s="78"/>
      <c r="B176" s="78"/>
      <c r="C176" s="78"/>
      <c r="D176" s="99"/>
      <c r="E176" s="104"/>
      <c r="F176" s="104"/>
      <c r="G176" s="99"/>
      <c r="H176" s="108"/>
      <c r="I176" s="78"/>
      <c r="J176" s="78"/>
      <c r="K176" s="78"/>
      <c r="L176" s="78"/>
    </row>
    <row r="177" ht="24.0" customHeight="1">
      <c r="A177" s="78"/>
      <c r="B177" s="78"/>
      <c r="C177" s="78"/>
      <c r="D177" s="99"/>
      <c r="E177" s="104"/>
      <c r="F177" s="104"/>
      <c r="G177" s="99"/>
      <c r="H177" s="108"/>
      <c r="I177" s="78"/>
      <c r="J177" s="78"/>
      <c r="K177" s="78"/>
      <c r="L177" s="78"/>
    </row>
    <row r="178" ht="24.0" customHeight="1">
      <c r="A178" s="78"/>
      <c r="B178" s="78"/>
      <c r="C178" s="78"/>
      <c r="D178" s="99"/>
      <c r="E178" s="104"/>
      <c r="F178" s="104"/>
      <c r="G178" s="99"/>
      <c r="H178" s="108"/>
      <c r="I178" s="78"/>
      <c r="J178" s="78"/>
      <c r="K178" s="78"/>
      <c r="L178" s="78"/>
    </row>
    <row r="179" ht="24.0" customHeight="1">
      <c r="A179" s="78"/>
      <c r="B179" s="78"/>
      <c r="C179" s="78"/>
      <c r="D179" s="99"/>
      <c r="E179" s="104"/>
      <c r="F179" s="104"/>
      <c r="G179" s="99"/>
      <c r="H179" s="108"/>
      <c r="I179" s="78"/>
      <c r="J179" s="78"/>
      <c r="K179" s="78"/>
      <c r="L179" s="78"/>
    </row>
    <row r="180" ht="24.0" customHeight="1">
      <c r="A180" s="78"/>
      <c r="B180" s="78"/>
      <c r="C180" s="78"/>
      <c r="D180" s="99"/>
      <c r="E180" s="104"/>
      <c r="F180" s="104"/>
      <c r="G180" s="99"/>
      <c r="H180" s="108"/>
      <c r="I180" s="78"/>
      <c r="J180" s="78"/>
      <c r="K180" s="78"/>
      <c r="L180" s="78"/>
    </row>
    <row r="181" ht="24.0" customHeight="1">
      <c r="A181" s="78"/>
      <c r="B181" s="78"/>
      <c r="C181" s="78"/>
      <c r="D181" s="99"/>
      <c r="E181" s="104"/>
      <c r="F181" s="104"/>
      <c r="G181" s="99"/>
      <c r="H181" s="108"/>
      <c r="I181" s="78"/>
      <c r="J181" s="78"/>
      <c r="K181" s="78"/>
      <c r="L181" s="78"/>
    </row>
    <row r="182" ht="24.0" customHeight="1">
      <c r="A182" s="78"/>
      <c r="B182" s="78"/>
      <c r="C182" s="78"/>
      <c r="D182" s="99"/>
      <c r="E182" s="104"/>
      <c r="F182" s="104"/>
      <c r="G182" s="99"/>
      <c r="H182" s="108"/>
      <c r="I182" s="78"/>
      <c r="J182" s="78"/>
      <c r="K182" s="78"/>
      <c r="L182" s="78"/>
    </row>
    <row r="183" ht="24.0" customHeight="1">
      <c r="A183" s="78"/>
      <c r="B183" s="78"/>
      <c r="C183" s="78"/>
      <c r="D183" s="99"/>
      <c r="E183" s="104"/>
      <c r="F183" s="104"/>
      <c r="G183" s="99"/>
      <c r="H183" s="108"/>
      <c r="I183" s="78"/>
      <c r="J183" s="78"/>
      <c r="K183" s="78"/>
      <c r="L183" s="78"/>
    </row>
    <row r="184" ht="24.0" customHeight="1">
      <c r="A184" s="78"/>
      <c r="B184" s="78"/>
      <c r="C184" s="78"/>
      <c r="D184" s="99"/>
      <c r="E184" s="104"/>
      <c r="F184" s="104"/>
      <c r="G184" s="99"/>
      <c r="H184" s="108"/>
      <c r="I184" s="78"/>
      <c r="J184" s="78"/>
      <c r="K184" s="78"/>
      <c r="L184" s="78"/>
    </row>
    <row r="185" ht="24.0" customHeight="1">
      <c r="A185" s="78"/>
      <c r="B185" s="78"/>
      <c r="C185" s="78"/>
      <c r="D185" s="99"/>
      <c r="E185" s="104"/>
      <c r="F185" s="104"/>
      <c r="G185" s="99"/>
      <c r="H185" s="108"/>
      <c r="I185" s="78"/>
      <c r="J185" s="78"/>
      <c r="K185" s="78"/>
      <c r="L185" s="78"/>
    </row>
    <row r="186" ht="24.0" customHeight="1">
      <c r="A186" s="78"/>
      <c r="B186" s="78"/>
      <c r="C186" s="78"/>
      <c r="D186" s="99"/>
      <c r="E186" s="104"/>
      <c r="F186" s="104"/>
      <c r="G186" s="99"/>
      <c r="H186" s="108"/>
      <c r="I186" s="78"/>
      <c r="J186" s="78"/>
      <c r="K186" s="78"/>
      <c r="L186" s="78"/>
    </row>
    <row r="187" ht="24.0" customHeight="1">
      <c r="A187" s="78"/>
      <c r="B187" s="78"/>
      <c r="C187" s="78"/>
      <c r="D187" s="99"/>
      <c r="E187" s="104"/>
      <c r="F187" s="104"/>
      <c r="G187" s="99"/>
      <c r="H187" s="108"/>
      <c r="I187" s="78"/>
      <c r="J187" s="78"/>
      <c r="K187" s="78"/>
      <c r="L187" s="78"/>
    </row>
    <row r="188" ht="24.0" customHeight="1">
      <c r="A188" s="78"/>
      <c r="B188" s="78"/>
      <c r="C188" s="78"/>
      <c r="D188" s="99"/>
      <c r="E188" s="104"/>
      <c r="F188" s="104"/>
      <c r="G188" s="99"/>
      <c r="H188" s="108"/>
      <c r="I188" s="78"/>
      <c r="J188" s="78"/>
      <c r="K188" s="78"/>
      <c r="L188" s="78"/>
    </row>
    <row r="189" ht="24.0" customHeight="1">
      <c r="A189" s="78"/>
      <c r="B189" s="78"/>
      <c r="C189" s="78"/>
      <c r="D189" s="99"/>
      <c r="E189" s="104"/>
      <c r="F189" s="104"/>
      <c r="G189" s="99"/>
      <c r="H189" s="108"/>
      <c r="I189" s="78"/>
      <c r="J189" s="78"/>
      <c r="K189" s="78"/>
      <c r="L189" s="78"/>
    </row>
    <row r="190" ht="24.0" customHeight="1">
      <c r="A190" s="78"/>
      <c r="B190" s="78"/>
      <c r="C190" s="78"/>
      <c r="D190" s="99"/>
      <c r="E190" s="104"/>
      <c r="F190" s="104"/>
      <c r="G190" s="99"/>
      <c r="H190" s="108"/>
      <c r="I190" s="78"/>
      <c r="J190" s="78"/>
      <c r="K190" s="78"/>
      <c r="L190" s="78"/>
    </row>
    <row r="191" ht="24.0" customHeight="1">
      <c r="A191" s="78"/>
      <c r="B191" s="78"/>
      <c r="C191" s="78"/>
      <c r="D191" s="99"/>
      <c r="E191" s="104"/>
      <c r="F191" s="104"/>
      <c r="G191" s="99"/>
      <c r="H191" s="108"/>
      <c r="I191" s="78"/>
      <c r="J191" s="78"/>
      <c r="K191" s="78"/>
      <c r="L191" s="78"/>
    </row>
    <row r="192" ht="24.0" customHeight="1">
      <c r="A192" s="78"/>
      <c r="B192" s="78"/>
      <c r="C192" s="78"/>
      <c r="D192" s="99"/>
      <c r="E192" s="104"/>
      <c r="F192" s="104"/>
      <c r="G192" s="99"/>
      <c r="H192" s="108"/>
      <c r="I192" s="78"/>
      <c r="J192" s="78"/>
      <c r="K192" s="78"/>
      <c r="L192" s="78"/>
    </row>
    <row r="193" ht="24.0" customHeight="1">
      <c r="A193" s="78"/>
      <c r="B193" s="78"/>
      <c r="C193" s="78"/>
      <c r="D193" s="99"/>
      <c r="E193" s="104"/>
      <c r="F193" s="104"/>
      <c r="G193" s="99"/>
      <c r="H193" s="108"/>
      <c r="I193" s="78"/>
      <c r="J193" s="78"/>
      <c r="K193" s="78"/>
      <c r="L193" s="78"/>
    </row>
    <row r="194" ht="24.0" customHeight="1">
      <c r="A194" s="78"/>
      <c r="B194" s="78"/>
      <c r="C194" s="78"/>
      <c r="D194" s="99"/>
      <c r="E194" s="104"/>
      <c r="F194" s="104"/>
      <c r="G194" s="99"/>
      <c r="H194" s="108"/>
      <c r="I194" s="78"/>
      <c r="J194" s="78"/>
      <c r="K194" s="78"/>
      <c r="L194" s="78"/>
    </row>
    <row r="195" ht="24.0" customHeight="1">
      <c r="A195" s="78"/>
      <c r="B195" s="78"/>
      <c r="C195" s="78"/>
      <c r="D195" s="99"/>
      <c r="E195" s="104"/>
      <c r="F195" s="104"/>
      <c r="G195" s="99"/>
      <c r="H195" s="108"/>
      <c r="I195" s="78"/>
      <c r="J195" s="78"/>
      <c r="K195" s="78"/>
      <c r="L195" s="78"/>
    </row>
    <row r="196" ht="24.0" customHeight="1">
      <c r="A196" s="78"/>
      <c r="B196" s="78"/>
      <c r="C196" s="78"/>
      <c r="D196" s="99"/>
      <c r="E196" s="104"/>
      <c r="F196" s="104"/>
      <c r="G196" s="99"/>
      <c r="H196" s="108"/>
      <c r="I196" s="78"/>
      <c r="J196" s="78"/>
      <c r="K196" s="78"/>
      <c r="L196" s="78"/>
    </row>
    <row r="197" ht="24.0" customHeight="1">
      <c r="A197" s="78"/>
      <c r="B197" s="78"/>
      <c r="C197" s="78"/>
      <c r="D197" s="99"/>
      <c r="E197" s="104"/>
      <c r="F197" s="104"/>
      <c r="G197" s="99"/>
      <c r="H197" s="108"/>
      <c r="I197" s="78"/>
      <c r="J197" s="78"/>
      <c r="K197" s="78"/>
      <c r="L197" s="78"/>
    </row>
    <row r="198" ht="24.0" customHeight="1">
      <c r="A198" s="78"/>
      <c r="B198" s="78"/>
      <c r="C198" s="78"/>
      <c r="D198" s="99"/>
      <c r="E198" s="104"/>
      <c r="F198" s="104"/>
      <c r="G198" s="99"/>
      <c r="H198" s="108"/>
      <c r="I198" s="78"/>
      <c r="J198" s="78"/>
      <c r="K198" s="78"/>
      <c r="L198" s="78"/>
    </row>
    <row r="199" ht="24.0" customHeight="1">
      <c r="A199" s="78"/>
      <c r="B199" s="78"/>
      <c r="C199" s="78"/>
      <c r="D199" s="99"/>
      <c r="E199" s="104"/>
      <c r="F199" s="104"/>
      <c r="G199" s="99"/>
      <c r="H199" s="108"/>
      <c r="I199" s="78"/>
      <c r="J199" s="78"/>
      <c r="K199" s="78"/>
      <c r="L199" s="78"/>
    </row>
    <row r="200" ht="24.0" customHeight="1">
      <c r="A200" s="78"/>
      <c r="B200" s="78"/>
      <c r="C200" s="78"/>
      <c r="D200" s="99"/>
      <c r="E200" s="104"/>
      <c r="F200" s="104"/>
      <c r="G200" s="99"/>
      <c r="H200" s="108"/>
      <c r="I200" s="78"/>
      <c r="J200" s="78"/>
      <c r="K200" s="78"/>
      <c r="L200" s="78"/>
    </row>
    <row r="201" ht="24.0" customHeight="1">
      <c r="A201" s="78"/>
      <c r="B201" s="78"/>
      <c r="C201" s="78"/>
      <c r="D201" s="99"/>
      <c r="E201" s="104"/>
      <c r="F201" s="104"/>
      <c r="G201" s="99"/>
      <c r="H201" s="108"/>
      <c r="I201" s="78"/>
      <c r="J201" s="78"/>
      <c r="K201" s="78"/>
      <c r="L201" s="78"/>
    </row>
    <row r="202" ht="24.0" customHeight="1">
      <c r="A202" s="78"/>
      <c r="B202" s="78"/>
      <c r="C202" s="78"/>
      <c r="D202" s="99"/>
      <c r="E202" s="104"/>
      <c r="F202" s="104"/>
      <c r="G202" s="99"/>
      <c r="H202" s="108"/>
      <c r="I202" s="78"/>
      <c r="J202" s="78"/>
      <c r="K202" s="78"/>
      <c r="L202" s="78"/>
    </row>
    <row r="203" ht="24.0" customHeight="1">
      <c r="A203" s="78"/>
      <c r="B203" s="78"/>
      <c r="C203" s="78"/>
      <c r="D203" s="99"/>
      <c r="E203" s="104"/>
      <c r="F203" s="104"/>
      <c r="G203" s="99"/>
      <c r="H203" s="108"/>
      <c r="I203" s="78"/>
      <c r="J203" s="78"/>
      <c r="K203" s="78"/>
      <c r="L203" s="78"/>
    </row>
    <row r="204" ht="24.0" customHeight="1">
      <c r="A204" s="78"/>
      <c r="B204" s="78"/>
      <c r="C204" s="78"/>
      <c r="D204" s="99"/>
      <c r="E204" s="104"/>
      <c r="F204" s="104"/>
      <c r="G204" s="99"/>
      <c r="H204" s="108"/>
      <c r="I204" s="78"/>
      <c r="J204" s="78"/>
      <c r="K204" s="78"/>
      <c r="L204" s="78"/>
    </row>
    <row r="205" ht="24.0" customHeight="1">
      <c r="A205" s="78"/>
      <c r="B205" s="78"/>
      <c r="C205" s="78"/>
      <c r="D205" s="99"/>
      <c r="E205" s="104"/>
      <c r="F205" s="104"/>
      <c r="G205" s="99"/>
      <c r="H205" s="108"/>
      <c r="I205" s="78"/>
      <c r="J205" s="78"/>
      <c r="K205" s="78"/>
      <c r="L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3:B3"/>
  </mergeCells>
  <conditionalFormatting sqref="G6:G205">
    <cfRule type="containsText" dxfId="5" priority="1" operator="containsText" text="Submitted">
      <formula>NOT(ISERROR(SEARCH(("Submitted"),(G6))))</formula>
    </cfRule>
  </conditionalFormatting>
  <conditionalFormatting sqref="G6:G205">
    <cfRule type="containsText" dxfId="6" priority="2" operator="containsText" text="Ready">
      <formula>NOT(ISERROR(SEARCH(("Ready"),(G6))))</formula>
    </cfRule>
  </conditionalFormatting>
  <conditionalFormatting sqref="G6:G205">
    <cfRule type="containsText" dxfId="6" priority="3" operator="containsText" text="Admitted">
      <formula>NOT(ISERROR(SEARCH(("Admitted"),(G6))))</formula>
    </cfRule>
  </conditionalFormatting>
  <conditionalFormatting sqref="G6:G205">
    <cfRule type="containsText" dxfId="6" priority="4" operator="containsText" text="Awarded">
      <formula>NOT(ISERROR(SEARCH(("Awarded"),(G6))))</formula>
    </cfRule>
  </conditionalFormatting>
  <conditionalFormatting sqref="G6:G205">
    <cfRule type="containsText" dxfId="6" priority="5" operator="containsText" text="Completed">
      <formula>NOT(ISERROR(SEARCH(("Completed"),(G6))))</formula>
    </cfRule>
  </conditionalFormatting>
  <conditionalFormatting sqref="G6:G205">
    <cfRule type="containsText" dxfId="6" priority="6" operator="containsText" text="Done">
      <formula>NOT(ISERROR(SEARCH(("Done"),(G6))))</formula>
    </cfRule>
  </conditionalFormatting>
  <conditionalFormatting sqref="G6:G205">
    <cfRule type="containsText" dxfId="6" priority="7" operator="containsText" text="Final">
      <formula>NOT(ISERROR(SEARCH(("Final"),(G6))))</formula>
    </cfRule>
  </conditionalFormatting>
  <conditionalFormatting sqref="G6:G205">
    <cfRule type="containsText" dxfId="7" priority="8" operator="containsText" text="Preparing">
      <formula>NOT(ISERROR(SEARCH(("Preparing"),(G6))))</formula>
    </cfRule>
  </conditionalFormatting>
  <conditionalFormatting sqref="G6:G205">
    <cfRule type="containsText" dxfId="7" priority="9" operator="containsText" text="In Progress">
      <formula>NOT(ISERROR(SEARCH(("In Progress"),(G6))))</formula>
    </cfRule>
  </conditionalFormatting>
  <conditionalFormatting sqref="G6:G205">
    <cfRule type="containsText" dxfId="7" priority="10" operator="containsText" text="Shortlisted">
      <formula>NOT(ISERROR(SEARCH(("Shortlisted"),(G6))))</formula>
    </cfRule>
  </conditionalFormatting>
  <conditionalFormatting sqref="G6:G205">
    <cfRule type="containsText" dxfId="8" priority="11" operator="containsText" text="Researching">
      <formula>NOT(ISERROR(SEARCH(("Researching"),(G6))))</formula>
    </cfRule>
  </conditionalFormatting>
  <conditionalFormatting sqref="G6:G205">
    <cfRule type="containsText" dxfId="8" priority="12" operator="containsText" text="Exploring">
      <formula>NOT(ISERROR(SEARCH(("Exploring"),(G6))))</formula>
    </cfRule>
  </conditionalFormatting>
  <conditionalFormatting sqref="G6:G205">
    <cfRule type="containsText" dxfId="9" priority="13" operator="containsText" text="Needs Verification">
      <formula>NOT(ISERROR(SEARCH(("Needs Verification"),(G6))))</formula>
    </cfRule>
  </conditionalFormatting>
  <conditionalFormatting sqref="G6:G205">
    <cfRule type="containsText" dxfId="10" priority="14" operator="containsText" text="Overdue">
      <formula>NOT(ISERROR(SEARCH(("Overdue"),(G6))))</formula>
    </cfRule>
  </conditionalFormatting>
  <conditionalFormatting sqref="G6:G205">
    <cfRule type="containsText" dxfId="10" priority="15" operator="containsText" text="Rejected">
      <formula>NOT(ISERROR(SEARCH(("Rejected"),(G6))))</formula>
    </cfRule>
  </conditionalFormatting>
  <conditionalFormatting sqref="G6:G205">
    <cfRule type="containsText" dxfId="10" priority="16" operator="containsText" text="Blocked">
      <formula>NOT(ISERROR(SEARCH(("Blocked"),(G6))))</formula>
    </cfRule>
  </conditionalFormatting>
  <conditionalFormatting sqref="H6:H205">
    <cfRule type="expression" dxfId="10" priority="17">
      <formula>AND(H6&lt;&gt;"",H6&lt;TODAY())</formula>
    </cfRule>
  </conditionalFormatting>
  <conditionalFormatting sqref="H6:H205">
    <cfRule type="expression" dxfId="9" priority="18">
      <formula>AND(H6&gt;=TODAY(),H6&lt;=TODAY()+7)</formula>
    </cfRule>
  </conditionalFormatting>
  <dataValidations>
    <dataValidation type="list" allowBlank="1" sqref="G6:G205">
      <formula1>"Not Started,Outlining,Drafting,Reviewing,Final"</formula1>
    </dataValidation>
    <dataValidation type="custom" allowBlank="1" showDropDown="1" sqref="H6:H205">
      <formula1>OR(NOT(ISERROR(DATEVALUE(H6))), AND(ISNUMBER(H6), LEFT(CELL("format", H6))="D"))</formula1>
    </dataValidation>
    <dataValidation type="list" allowBlank="1" sqref="D6:D205">
      <formula1>"Statement of Purpose,Personal Statement,Research Proposal,Scholarship Essay,Short Answer,Writing Sample,Other"</formula1>
    </dataValidation>
    <dataValidation type="custom" allowBlank="1" showDropDown="1" sqref="E6:F205">
      <formula1>AND(ISNUMBER(E6),(NOT(OR(NOT(ISERROR(DATEVALUE(E6))), AND(ISNUMBER(E6), LEFT(CELL("format", E6))="D")))))</formula1>
    </dataValidation>
    <dataValidation allowBlank="1" showDropDown="1" sqref="A6:C205 I6:L20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25"/>
    <col customWidth="1" min="2" max="2" width="24.0"/>
    <col customWidth="1" min="3" max="4" width="30.0"/>
    <col customWidth="1" min="5" max="5" width="24.0"/>
    <col customWidth="1" min="6" max="6" width="18.0"/>
    <col customWidth="1" min="7" max="7" width="20.88"/>
    <col customWidth="1" min="8" max="8" width="18.0"/>
    <col customWidth="1" min="9" max="9" width="17.75"/>
    <col customWidth="1" min="10" max="10" width="16.63"/>
    <col customWidth="1" min="11" max="11" width="17.38"/>
    <col customWidth="1" min="12" max="12" width="15.0"/>
    <col customWidth="1" min="13" max="13" width="42.0"/>
    <col customWidth="1" min="14" max="26" width="8.63"/>
  </cols>
  <sheetData>
    <row r="1" ht="33.75" customHeight="1">
      <c r="A1" s="1" t="s">
        <v>348</v>
      </c>
    </row>
    <row r="2" ht="27.75" customHeight="1">
      <c r="A2" s="2" t="s">
        <v>349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1.5" customHeight="1">
      <c r="A5" s="28" t="s">
        <v>350</v>
      </c>
      <c r="B5" s="28" t="s">
        <v>351</v>
      </c>
      <c r="C5" s="28" t="s">
        <v>352</v>
      </c>
      <c r="D5" s="28" t="s">
        <v>353</v>
      </c>
      <c r="E5" s="28" t="s">
        <v>354</v>
      </c>
      <c r="F5" s="28" t="s">
        <v>355</v>
      </c>
      <c r="G5" s="28" t="s">
        <v>144</v>
      </c>
      <c r="H5" s="28" t="s">
        <v>70</v>
      </c>
      <c r="I5" s="28" t="s">
        <v>356</v>
      </c>
      <c r="J5" s="28" t="s">
        <v>245</v>
      </c>
      <c r="K5" s="28" t="s">
        <v>116</v>
      </c>
      <c r="L5" s="28" t="s">
        <v>357</v>
      </c>
      <c r="M5" s="28" t="s">
        <v>85</v>
      </c>
      <c r="N5" s="30" t="s">
        <v>245</v>
      </c>
      <c r="O5" s="30" t="s">
        <v>116</v>
      </c>
      <c r="P5" s="30" t="s">
        <v>357</v>
      </c>
      <c r="Q5" s="30" t="s">
        <v>85</v>
      </c>
    </row>
    <row r="6" ht="24.0" customHeight="1">
      <c r="A6" s="80" t="s">
        <v>358</v>
      </c>
      <c r="B6" s="82" t="s">
        <v>359</v>
      </c>
      <c r="C6" s="82" t="s">
        <v>360</v>
      </c>
      <c r="D6" s="82" t="s">
        <v>361</v>
      </c>
      <c r="E6" s="82" t="s">
        <v>362</v>
      </c>
      <c r="F6" s="82" t="s">
        <v>363</v>
      </c>
      <c r="G6" s="82" t="s">
        <v>161</v>
      </c>
      <c r="H6" s="86" t="s">
        <v>364</v>
      </c>
      <c r="I6" s="106"/>
      <c r="J6" s="106">
        <v>46280.0</v>
      </c>
      <c r="K6" s="106"/>
      <c r="L6" s="106">
        <v>46266.0</v>
      </c>
      <c r="M6" s="93" t="s">
        <v>185</v>
      </c>
    </row>
    <row r="7" ht="24.0" customHeight="1">
      <c r="A7" s="78"/>
      <c r="B7" s="78"/>
      <c r="C7" s="78"/>
      <c r="D7" s="78"/>
      <c r="E7" s="78"/>
      <c r="F7" s="78"/>
      <c r="G7" s="78"/>
      <c r="H7" s="99"/>
      <c r="I7" s="108"/>
      <c r="J7" s="108"/>
      <c r="K7" s="108"/>
      <c r="L7" s="108"/>
      <c r="M7" s="78"/>
    </row>
    <row r="8" ht="24.0" customHeight="1">
      <c r="A8" s="78"/>
      <c r="B8" s="78"/>
      <c r="C8" s="78"/>
      <c r="D8" s="78"/>
      <c r="E8" s="78"/>
      <c r="F8" s="78"/>
      <c r="G8" s="78"/>
      <c r="H8" s="99"/>
      <c r="I8" s="108"/>
      <c r="J8" s="108"/>
      <c r="K8" s="108"/>
      <c r="L8" s="108"/>
      <c r="M8" s="78"/>
    </row>
    <row r="9" ht="24.0" customHeight="1">
      <c r="A9" s="78"/>
      <c r="B9" s="78"/>
      <c r="C9" s="78"/>
      <c r="D9" s="78"/>
      <c r="E9" s="78"/>
      <c r="F9" s="78"/>
      <c r="G9" s="78"/>
      <c r="H9" s="99"/>
      <c r="I9" s="108"/>
      <c r="J9" s="108"/>
      <c r="K9" s="108"/>
      <c r="L9" s="108"/>
      <c r="M9" s="78"/>
    </row>
    <row r="10" ht="24.0" customHeight="1">
      <c r="A10" s="78"/>
      <c r="B10" s="78"/>
      <c r="C10" s="78"/>
      <c r="D10" s="78"/>
      <c r="E10" s="78"/>
      <c r="F10" s="78"/>
      <c r="G10" s="78"/>
      <c r="H10" s="99"/>
      <c r="I10" s="108"/>
      <c r="J10" s="108"/>
      <c r="K10" s="108"/>
      <c r="L10" s="108"/>
      <c r="M10" s="78"/>
    </row>
    <row r="11" ht="24.0" customHeight="1">
      <c r="A11" s="78"/>
      <c r="B11" s="78"/>
      <c r="C11" s="78"/>
      <c r="D11" s="78"/>
      <c r="E11" s="78"/>
      <c r="F11" s="78"/>
      <c r="G11" s="78"/>
      <c r="H11" s="99"/>
      <c r="I11" s="108"/>
      <c r="J11" s="108"/>
      <c r="K11" s="108"/>
      <c r="L11" s="108"/>
      <c r="M11" s="78"/>
    </row>
    <row r="12" ht="24.0" customHeight="1">
      <c r="A12" s="78"/>
      <c r="B12" s="78"/>
      <c r="C12" s="78"/>
      <c r="D12" s="78"/>
      <c r="E12" s="78"/>
      <c r="F12" s="78"/>
      <c r="G12" s="78"/>
      <c r="H12" s="99"/>
      <c r="I12" s="108"/>
      <c r="J12" s="108"/>
      <c r="K12" s="108"/>
      <c r="L12" s="108"/>
      <c r="M12" s="78"/>
    </row>
    <row r="13" ht="24.0" customHeight="1">
      <c r="A13" s="78"/>
      <c r="B13" s="78"/>
      <c r="C13" s="78"/>
      <c r="D13" s="78"/>
      <c r="E13" s="78"/>
      <c r="F13" s="78"/>
      <c r="G13" s="78"/>
      <c r="H13" s="99"/>
      <c r="I13" s="108"/>
      <c r="J13" s="108"/>
      <c r="K13" s="108"/>
      <c r="L13" s="108"/>
      <c r="M13" s="78"/>
    </row>
    <row r="14" ht="24.0" customHeight="1">
      <c r="A14" s="78"/>
      <c r="B14" s="78"/>
      <c r="C14" s="78"/>
      <c r="D14" s="78"/>
      <c r="E14" s="78"/>
      <c r="F14" s="78"/>
      <c r="G14" s="78"/>
      <c r="H14" s="99"/>
      <c r="I14" s="108"/>
      <c r="J14" s="108"/>
      <c r="K14" s="108"/>
      <c r="L14" s="108"/>
      <c r="M14" s="78"/>
    </row>
    <row r="15" ht="24.0" customHeight="1">
      <c r="A15" s="78"/>
      <c r="B15" s="78"/>
      <c r="C15" s="78"/>
      <c r="D15" s="78"/>
      <c r="E15" s="78"/>
      <c r="F15" s="78"/>
      <c r="G15" s="78"/>
      <c r="H15" s="99"/>
      <c r="I15" s="108"/>
      <c r="J15" s="108"/>
      <c r="K15" s="108"/>
      <c r="L15" s="108"/>
      <c r="M15" s="78"/>
    </row>
    <row r="16" ht="24.0" customHeight="1">
      <c r="A16" s="78"/>
      <c r="B16" s="78"/>
      <c r="C16" s="78"/>
      <c r="D16" s="78"/>
      <c r="E16" s="78"/>
      <c r="F16" s="78"/>
      <c r="G16" s="78"/>
      <c r="H16" s="99"/>
      <c r="I16" s="108"/>
      <c r="J16" s="108"/>
      <c r="K16" s="108"/>
      <c r="L16" s="108"/>
      <c r="M16" s="78"/>
    </row>
    <row r="17" ht="24.0" customHeight="1">
      <c r="A17" s="78"/>
      <c r="B17" s="78"/>
      <c r="C17" s="78"/>
      <c r="D17" s="78"/>
      <c r="E17" s="78"/>
      <c r="F17" s="78"/>
      <c r="G17" s="78"/>
      <c r="H17" s="99"/>
      <c r="I17" s="108"/>
      <c r="J17" s="108"/>
      <c r="K17" s="108"/>
      <c r="L17" s="108"/>
      <c r="M17" s="78"/>
    </row>
    <row r="18" ht="24.0" customHeight="1">
      <c r="A18" s="78"/>
      <c r="B18" s="78"/>
      <c r="C18" s="78"/>
      <c r="D18" s="78"/>
      <c r="E18" s="78"/>
      <c r="F18" s="78"/>
      <c r="G18" s="78"/>
      <c r="H18" s="99"/>
      <c r="I18" s="108"/>
      <c r="J18" s="108"/>
      <c r="K18" s="108"/>
      <c r="L18" s="108"/>
      <c r="M18" s="78"/>
    </row>
    <row r="19" ht="24.0" customHeight="1">
      <c r="A19" s="78"/>
      <c r="B19" s="78"/>
      <c r="C19" s="78"/>
      <c r="D19" s="78"/>
      <c r="E19" s="78"/>
      <c r="F19" s="78"/>
      <c r="G19" s="78"/>
      <c r="H19" s="99"/>
      <c r="I19" s="108"/>
      <c r="J19" s="108"/>
      <c r="K19" s="108"/>
      <c r="L19" s="108"/>
      <c r="M19" s="78"/>
    </row>
    <row r="20" ht="24.0" customHeight="1">
      <c r="A20" s="78"/>
      <c r="B20" s="78"/>
      <c r="C20" s="78"/>
      <c r="D20" s="78"/>
      <c r="E20" s="78"/>
      <c r="F20" s="78"/>
      <c r="G20" s="78"/>
      <c r="H20" s="99"/>
      <c r="I20" s="108"/>
      <c r="J20" s="108"/>
      <c r="K20" s="108"/>
      <c r="L20" s="108"/>
      <c r="M20" s="78"/>
    </row>
    <row r="21" ht="24.0" customHeight="1">
      <c r="A21" s="78"/>
      <c r="B21" s="78"/>
      <c r="C21" s="78"/>
      <c r="D21" s="78"/>
      <c r="E21" s="78"/>
      <c r="F21" s="78"/>
      <c r="G21" s="78"/>
      <c r="H21" s="99"/>
      <c r="I21" s="108"/>
      <c r="J21" s="108"/>
      <c r="K21" s="108"/>
      <c r="L21" s="108"/>
      <c r="M21" s="78"/>
    </row>
    <row r="22" ht="24.0" customHeight="1">
      <c r="A22" s="78"/>
      <c r="B22" s="78"/>
      <c r="C22" s="78"/>
      <c r="D22" s="78"/>
      <c r="E22" s="78"/>
      <c r="F22" s="78"/>
      <c r="G22" s="78"/>
      <c r="H22" s="99"/>
      <c r="I22" s="108"/>
      <c r="J22" s="108"/>
      <c r="K22" s="108"/>
      <c r="L22" s="108"/>
      <c r="M22" s="78"/>
    </row>
    <row r="23" ht="24.0" customHeight="1">
      <c r="A23" s="78"/>
      <c r="B23" s="78"/>
      <c r="C23" s="78"/>
      <c r="D23" s="78"/>
      <c r="E23" s="78"/>
      <c r="F23" s="78"/>
      <c r="G23" s="78"/>
      <c r="H23" s="99"/>
      <c r="I23" s="108"/>
      <c r="J23" s="108"/>
      <c r="K23" s="108"/>
      <c r="L23" s="108"/>
      <c r="M23" s="78"/>
    </row>
    <row r="24" ht="24.0" customHeight="1">
      <c r="A24" s="78"/>
      <c r="B24" s="78"/>
      <c r="C24" s="78"/>
      <c r="D24" s="78"/>
      <c r="E24" s="78"/>
      <c r="F24" s="78"/>
      <c r="G24" s="78"/>
      <c r="H24" s="99"/>
      <c r="I24" s="108"/>
      <c r="J24" s="108"/>
      <c r="K24" s="108"/>
      <c r="L24" s="108"/>
      <c r="M24" s="78"/>
    </row>
    <row r="25" ht="24.0" customHeight="1">
      <c r="A25" s="78"/>
      <c r="B25" s="78"/>
      <c r="C25" s="78"/>
      <c r="D25" s="78"/>
      <c r="E25" s="78"/>
      <c r="F25" s="78"/>
      <c r="G25" s="78"/>
      <c r="H25" s="99"/>
      <c r="I25" s="108"/>
      <c r="J25" s="108"/>
      <c r="K25" s="108"/>
      <c r="L25" s="108"/>
      <c r="M25" s="78"/>
    </row>
    <row r="26" ht="24.0" customHeight="1">
      <c r="A26" s="78"/>
      <c r="B26" s="78"/>
      <c r="C26" s="78"/>
      <c r="D26" s="78"/>
      <c r="E26" s="78"/>
      <c r="F26" s="78"/>
      <c r="G26" s="78"/>
      <c r="H26" s="99"/>
      <c r="I26" s="108"/>
      <c r="J26" s="108"/>
      <c r="K26" s="108"/>
      <c r="L26" s="108"/>
      <c r="M26" s="78"/>
    </row>
    <row r="27" ht="24.0" customHeight="1">
      <c r="A27" s="78"/>
      <c r="B27" s="78"/>
      <c r="C27" s="78"/>
      <c r="D27" s="78"/>
      <c r="E27" s="78"/>
      <c r="F27" s="78"/>
      <c r="G27" s="78"/>
      <c r="H27" s="99"/>
      <c r="I27" s="108"/>
      <c r="J27" s="108"/>
      <c r="K27" s="108"/>
      <c r="L27" s="108"/>
      <c r="M27" s="78"/>
    </row>
    <row r="28" ht="24.0" customHeight="1">
      <c r="A28" s="78"/>
      <c r="B28" s="78"/>
      <c r="C28" s="78"/>
      <c r="D28" s="78"/>
      <c r="E28" s="78"/>
      <c r="F28" s="78"/>
      <c r="G28" s="78"/>
      <c r="H28" s="99"/>
      <c r="I28" s="108"/>
      <c r="J28" s="108"/>
      <c r="K28" s="108"/>
      <c r="L28" s="108"/>
      <c r="M28" s="78"/>
    </row>
    <row r="29" ht="24.0" customHeight="1">
      <c r="A29" s="78"/>
      <c r="B29" s="78"/>
      <c r="C29" s="78"/>
      <c r="D29" s="78"/>
      <c r="E29" s="78"/>
      <c r="F29" s="78"/>
      <c r="G29" s="78"/>
      <c r="H29" s="99"/>
      <c r="I29" s="108"/>
      <c r="J29" s="108"/>
      <c r="K29" s="108"/>
      <c r="L29" s="108"/>
      <c r="M29" s="78"/>
    </row>
    <row r="30" ht="24.0" customHeight="1">
      <c r="A30" s="78"/>
      <c r="B30" s="78"/>
      <c r="C30" s="78"/>
      <c r="D30" s="78"/>
      <c r="E30" s="78"/>
      <c r="F30" s="78"/>
      <c r="G30" s="78"/>
      <c r="H30" s="99"/>
      <c r="I30" s="108"/>
      <c r="J30" s="108"/>
      <c r="K30" s="108"/>
      <c r="L30" s="108"/>
      <c r="M30" s="78"/>
    </row>
    <row r="31" ht="24.0" customHeight="1">
      <c r="A31" s="78"/>
      <c r="B31" s="78"/>
      <c r="C31" s="78"/>
      <c r="D31" s="78"/>
      <c r="E31" s="78"/>
      <c r="F31" s="78"/>
      <c r="G31" s="78"/>
      <c r="H31" s="99"/>
      <c r="I31" s="108"/>
      <c r="J31" s="108"/>
      <c r="K31" s="108"/>
      <c r="L31" s="108"/>
      <c r="M31" s="78"/>
    </row>
    <row r="32" ht="24.0" customHeight="1">
      <c r="A32" s="78"/>
      <c r="B32" s="78"/>
      <c r="C32" s="78"/>
      <c r="D32" s="78"/>
      <c r="E32" s="78"/>
      <c r="F32" s="78"/>
      <c r="G32" s="78"/>
      <c r="H32" s="99"/>
      <c r="I32" s="108"/>
      <c r="J32" s="108"/>
      <c r="K32" s="108"/>
      <c r="L32" s="108"/>
      <c r="M32" s="78"/>
    </row>
    <row r="33" ht="24.0" customHeight="1">
      <c r="A33" s="78"/>
      <c r="B33" s="78"/>
      <c r="C33" s="78"/>
      <c r="D33" s="78"/>
      <c r="E33" s="78"/>
      <c r="F33" s="78"/>
      <c r="G33" s="78"/>
      <c r="H33" s="99"/>
      <c r="I33" s="108"/>
      <c r="J33" s="108"/>
      <c r="K33" s="108"/>
      <c r="L33" s="108"/>
      <c r="M33" s="78"/>
    </row>
    <row r="34" ht="24.0" customHeight="1">
      <c r="A34" s="78"/>
      <c r="B34" s="78"/>
      <c r="C34" s="78"/>
      <c r="D34" s="78"/>
      <c r="E34" s="78"/>
      <c r="F34" s="78"/>
      <c r="G34" s="78"/>
      <c r="H34" s="99"/>
      <c r="I34" s="108"/>
      <c r="J34" s="108"/>
      <c r="K34" s="108"/>
      <c r="L34" s="108"/>
      <c r="M34" s="78"/>
    </row>
    <row r="35" ht="24.0" customHeight="1">
      <c r="A35" s="78"/>
      <c r="B35" s="78"/>
      <c r="C35" s="78"/>
      <c r="D35" s="78"/>
      <c r="E35" s="78"/>
      <c r="F35" s="78"/>
      <c r="G35" s="78"/>
      <c r="H35" s="99"/>
      <c r="I35" s="108"/>
      <c r="J35" s="108"/>
      <c r="K35" s="108"/>
      <c r="L35" s="108"/>
      <c r="M35" s="78"/>
    </row>
    <row r="36" ht="24.0" customHeight="1">
      <c r="A36" s="78"/>
      <c r="B36" s="78"/>
      <c r="C36" s="78"/>
      <c r="D36" s="78"/>
      <c r="E36" s="78"/>
      <c r="F36" s="78"/>
      <c r="G36" s="78"/>
      <c r="H36" s="99"/>
      <c r="I36" s="108"/>
      <c r="J36" s="108"/>
      <c r="K36" s="108"/>
      <c r="L36" s="108"/>
      <c r="M36" s="78"/>
    </row>
    <row r="37" ht="24.0" customHeight="1">
      <c r="A37" s="78"/>
      <c r="B37" s="78"/>
      <c r="C37" s="78"/>
      <c r="D37" s="78"/>
      <c r="E37" s="78"/>
      <c r="F37" s="78"/>
      <c r="G37" s="78"/>
      <c r="H37" s="99"/>
      <c r="I37" s="108"/>
      <c r="J37" s="108"/>
      <c r="K37" s="108"/>
      <c r="L37" s="108"/>
      <c r="M37" s="78"/>
    </row>
    <row r="38" ht="24.0" customHeight="1">
      <c r="A38" s="78"/>
      <c r="B38" s="78"/>
      <c r="C38" s="78"/>
      <c r="D38" s="78"/>
      <c r="E38" s="78"/>
      <c r="F38" s="78"/>
      <c r="G38" s="78"/>
      <c r="H38" s="99"/>
      <c r="I38" s="108"/>
      <c r="J38" s="108"/>
      <c r="K38" s="108"/>
      <c r="L38" s="108"/>
      <c r="M38" s="78"/>
    </row>
    <row r="39" ht="24.0" customHeight="1">
      <c r="A39" s="78"/>
      <c r="B39" s="78"/>
      <c r="C39" s="78"/>
      <c r="D39" s="78"/>
      <c r="E39" s="78"/>
      <c r="F39" s="78"/>
      <c r="G39" s="78"/>
      <c r="H39" s="99"/>
      <c r="I39" s="108"/>
      <c r="J39" s="108"/>
      <c r="K39" s="108"/>
      <c r="L39" s="108"/>
      <c r="M39" s="78"/>
    </row>
    <row r="40" ht="24.0" customHeight="1">
      <c r="A40" s="78"/>
      <c r="B40" s="78"/>
      <c r="C40" s="78"/>
      <c r="D40" s="78"/>
      <c r="E40" s="78"/>
      <c r="F40" s="78"/>
      <c r="G40" s="78"/>
      <c r="H40" s="99"/>
      <c r="I40" s="108"/>
      <c r="J40" s="108"/>
      <c r="K40" s="108"/>
      <c r="L40" s="108"/>
      <c r="M40" s="78"/>
    </row>
    <row r="41" ht="24.0" customHeight="1">
      <c r="A41" s="78"/>
      <c r="B41" s="78"/>
      <c r="C41" s="78"/>
      <c r="D41" s="78"/>
      <c r="E41" s="78"/>
      <c r="F41" s="78"/>
      <c r="G41" s="78"/>
      <c r="H41" s="99"/>
      <c r="I41" s="108"/>
      <c r="J41" s="108"/>
      <c r="K41" s="108"/>
      <c r="L41" s="108"/>
      <c r="M41" s="78"/>
    </row>
    <row r="42" ht="24.0" customHeight="1">
      <c r="A42" s="78"/>
      <c r="B42" s="78"/>
      <c r="C42" s="78"/>
      <c r="D42" s="78"/>
      <c r="E42" s="78"/>
      <c r="F42" s="78"/>
      <c r="G42" s="78"/>
      <c r="H42" s="99"/>
      <c r="I42" s="108"/>
      <c r="J42" s="108"/>
      <c r="K42" s="108"/>
      <c r="L42" s="108"/>
      <c r="M42" s="78"/>
    </row>
    <row r="43" ht="24.0" customHeight="1">
      <c r="A43" s="78"/>
      <c r="B43" s="78"/>
      <c r="C43" s="78"/>
      <c r="D43" s="78"/>
      <c r="E43" s="78"/>
      <c r="F43" s="78"/>
      <c r="G43" s="78"/>
      <c r="H43" s="99"/>
      <c r="I43" s="108"/>
      <c r="J43" s="108"/>
      <c r="K43" s="108"/>
      <c r="L43" s="108"/>
      <c r="M43" s="78"/>
    </row>
    <row r="44" ht="24.0" customHeight="1">
      <c r="A44" s="78"/>
      <c r="B44" s="78"/>
      <c r="C44" s="78"/>
      <c r="D44" s="78"/>
      <c r="E44" s="78"/>
      <c r="F44" s="78"/>
      <c r="G44" s="78"/>
      <c r="H44" s="99"/>
      <c r="I44" s="108"/>
      <c r="J44" s="108"/>
      <c r="K44" s="108"/>
      <c r="L44" s="108"/>
      <c r="M44" s="78"/>
    </row>
    <row r="45" ht="24.0" customHeight="1">
      <c r="A45" s="78"/>
      <c r="B45" s="78"/>
      <c r="C45" s="78"/>
      <c r="D45" s="78"/>
      <c r="E45" s="78"/>
      <c r="F45" s="78"/>
      <c r="G45" s="78"/>
      <c r="H45" s="99"/>
      <c r="I45" s="108"/>
      <c r="J45" s="108"/>
      <c r="K45" s="108"/>
      <c r="L45" s="108"/>
      <c r="M45" s="78"/>
    </row>
    <row r="46" ht="24.0" customHeight="1">
      <c r="A46" s="78"/>
      <c r="B46" s="78"/>
      <c r="C46" s="78"/>
      <c r="D46" s="78"/>
      <c r="E46" s="78"/>
      <c r="F46" s="78"/>
      <c r="G46" s="78"/>
      <c r="H46" s="99"/>
      <c r="I46" s="108"/>
      <c r="J46" s="108"/>
      <c r="K46" s="108"/>
      <c r="L46" s="108"/>
      <c r="M46" s="78"/>
    </row>
    <row r="47" ht="24.0" customHeight="1">
      <c r="A47" s="78"/>
      <c r="B47" s="78"/>
      <c r="C47" s="78"/>
      <c r="D47" s="78"/>
      <c r="E47" s="78"/>
      <c r="F47" s="78"/>
      <c r="G47" s="78"/>
      <c r="H47" s="99"/>
      <c r="I47" s="108"/>
      <c r="J47" s="108"/>
      <c r="K47" s="108"/>
      <c r="L47" s="108"/>
      <c r="M47" s="78"/>
    </row>
    <row r="48" ht="24.0" customHeight="1">
      <c r="A48" s="78"/>
      <c r="B48" s="78"/>
      <c r="C48" s="78"/>
      <c r="D48" s="78"/>
      <c r="E48" s="78"/>
      <c r="F48" s="78"/>
      <c r="G48" s="78"/>
      <c r="H48" s="99"/>
      <c r="I48" s="108"/>
      <c r="J48" s="108"/>
      <c r="K48" s="108"/>
      <c r="L48" s="108"/>
      <c r="M48" s="78"/>
    </row>
    <row r="49" ht="24.0" customHeight="1">
      <c r="A49" s="78"/>
      <c r="B49" s="78"/>
      <c r="C49" s="78"/>
      <c r="D49" s="78"/>
      <c r="E49" s="78"/>
      <c r="F49" s="78"/>
      <c r="G49" s="78"/>
      <c r="H49" s="99"/>
      <c r="I49" s="108"/>
      <c r="J49" s="108"/>
      <c r="K49" s="108"/>
      <c r="L49" s="108"/>
      <c r="M49" s="78"/>
    </row>
    <row r="50" ht="24.0" customHeight="1">
      <c r="A50" s="78"/>
      <c r="B50" s="78"/>
      <c r="C50" s="78"/>
      <c r="D50" s="78"/>
      <c r="E50" s="78"/>
      <c r="F50" s="78"/>
      <c r="G50" s="78"/>
      <c r="H50" s="99"/>
      <c r="I50" s="108"/>
      <c r="J50" s="108"/>
      <c r="K50" s="108"/>
      <c r="L50" s="108"/>
      <c r="M50" s="78"/>
    </row>
    <row r="51" ht="24.0" customHeight="1">
      <c r="A51" s="78"/>
      <c r="B51" s="78"/>
      <c r="C51" s="78"/>
      <c r="D51" s="78"/>
      <c r="E51" s="78"/>
      <c r="F51" s="78"/>
      <c r="G51" s="78"/>
      <c r="H51" s="99"/>
      <c r="I51" s="108"/>
      <c r="J51" s="108"/>
      <c r="K51" s="108"/>
      <c r="L51" s="108"/>
      <c r="M51" s="78"/>
    </row>
    <row r="52" ht="24.0" customHeight="1">
      <c r="A52" s="78"/>
      <c r="B52" s="78"/>
      <c r="C52" s="78"/>
      <c r="D52" s="78"/>
      <c r="E52" s="78"/>
      <c r="F52" s="78"/>
      <c r="G52" s="78"/>
      <c r="H52" s="99"/>
      <c r="I52" s="108"/>
      <c r="J52" s="108"/>
      <c r="K52" s="108"/>
      <c r="L52" s="108"/>
      <c r="M52" s="78"/>
    </row>
    <row r="53" ht="24.0" customHeight="1">
      <c r="A53" s="78"/>
      <c r="B53" s="78"/>
      <c r="C53" s="78"/>
      <c r="D53" s="78"/>
      <c r="E53" s="78"/>
      <c r="F53" s="78"/>
      <c r="G53" s="78"/>
      <c r="H53" s="99"/>
      <c r="I53" s="108"/>
      <c r="J53" s="108"/>
      <c r="K53" s="108"/>
      <c r="L53" s="108"/>
      <c r="M53" s="78"/>
    </row>
    <row r="54" ht="24.0" customHeight="1">
      <c r="A54" s="78"/>
      <c r="B54" s="78"/>
      <c r="C54" s="78"/>
      <c r="D54" s="78"/>
      <c r="E54" s="78"/>
      <c r="F54" s="78"/>
      <c r="G54" s="78"/>
      <c r="H54" s="99"/>
      <c r="I54" s="108"/>
      <c r="J54" s="108"/>
      <c r="K54" s="108"/>
      <c r="L54" s="108"/>
      <c r="M54" s="78"/>
    </row>
    <row r="55" ht="24.0" customHeight="1">
      <c r="A55" s="78"/>
      <c r="B55" s="78"/>
      <c r="C55" s="78"/>
      <c r="D55" s="78"/>
      <c r="E55" s="78"/>
      <c r="F55" s="78"/>
      <c r="G55" s="78"/>
      <c r="H55" s="99"/>
      <c r="I55" s="108"/>
      <c r="J55" s="108"/>
      <c r="K55" s="108"/>
      <c r="L55" s="108"/>
      <c r="M55" s="78"/>
    </row>
    <row r="56" ht="24.0" customHeight="1">
      <c r="A56" s="78"/>
      <c r="B56" s="78"/>
      <c r="C56" s="78"/>
      <c r="D56" s="78"/>
      <c r="E56" s="78"/>
      <c r="F56" s="78"/>
      <c r="G56" s="78"/>
      <c r="H56" s="99"/>
      <c r="I56" s="108"/>
      <c r="J56" s="108"/>
      <c r="K56" s="108"/>
      <c r="L56" s="108"/>
      <c r="M56" s="78"/>
    </row>
    <row r="57" ht="24.0" customHeight="1">
      <c r="A57" s="78"/>
      <c r="B57" s="78"/>
      <c r="C57" s="78"/>
      <c r="D57" s="78"/>
      <c r="E57" s="78"/>
      <c r="F57" s="78"/>
      <c r="G57" s="78"/>
      <c r="H57" s="99"/>
      <c r="I57" s="108"/>
      <c r="J57" s="108"/>
      <c r="K57" s="108"/>
      <c r="L57" s="108"/>
      <c r="M57" s="78"/>
    </row>
    <row r="58" ht="24.0" customHeight="1">
      <c r="A58" s="78"/>
      <c r="B58" s="78"/>
      <c r="C58" s="78"/>
      <c r="D58" s="78"/>
      <c r="E58" s="78"/>
      <c r="F58" s="78"/>
      <c r="G58" s="78"/>
      <c r="H58" s="99"/>
      <c r="I58" s="108"/>
      <c r="J58" s="108"/>
      <c r="K58" s="108"/>
      <c r="L58" s="108"/>
      <c r="M58" s="78"/>
    </row>
    <row r="59" ht="24.0" customHeight="1">
      <c r="A59" s="78"/>
      <c r="B59" s="78"/>
      <c r="C59" s="78"/>
      <c r="D59" s="78"/>
      <c r="E59" s="78"/>
      <c r="F59" s="78"/>
      <c r="G59" s="78"/>
      <c r="H59" s="99"/>
      <c r="I59" s="108"/>
      <c r="J59" s="108"/>
      <c r="K59" s="108"/>
      <c r="L59" s="108"/>
      <c r="M59" s="78"/>
    </row>
    <row r="60" ht="24.0" customHeight="1">
      <c r="A60" s="78"/>
      <c r="B60" s="78"/>
      <c r="C60" s="78"/>
      <c r="D60" s="78"/>
      <c r="E60" s="78"/>
      <c r="F60" s="78"/>
      <c r="G60" s="78"/>
      <c r="H60" s="99"/>
      <c r="I60" s="108"/>
      <c r="J60" s="108"/>
      <c r="K60" s="108"/>
      <c r="L60" s="108"/>
      <c r="M60" s="78"/>
    </row>
    <row r="61" ht="24.0" customHeight="1">
      <c r="A61" s="78"/>
      <c r="B61" s="78"/>
      <c r="C61" s="78"/>
      <c r="D61" s="78"/>
      <c r="E61" s="78"/>
      <c r="F61" s="78"/>
      <c r="G61" s="78"/>
      <c r="H61" s="99"/>
      <c r="I61" s="108"/>
      <c r="J61" s="108"/>
      <c r="K61" s="108"/>
      <c r="L61" s="108"/>
      <c r="M61" s="78"/>
    </row>
    <row r="62" ht="24.0" customHeight="1">
      <c r="A62" s="78"/>
      <c r="B62" s="78"/>
      <c r="C62" s="78"/>
      <c r="D62" s="78"/>
      <c r="E62" s="78"/>
      <c r="F62" s="78"/>
      <c r="G62" s="78"/>
      <c r="H62" s="99"/>
      <c r="I62" s="108"/>
      <c r="J62" s="108"/>
      <c r="K62" s="108"/>
      <c r="L62" s="108"/>
      <c r="M62" s="78"/>
    </row>
    <row r="63" ht="24.0" customHeight="1">
      <c r="A63" s="78"/>
      <c r="B63" s="78"/>
      <c r="C63" s="78"/>
      <c r="D63" s="78"/>
      <c r="E63" s="78"/>
      <c r="F63" s="78"/>
      <c r="G63" s="78"/>
      <c r="H63" s="99"/>
      <c r="I63" s="108"/>
      <c r="J63" s="108"/>
      <c r="K63" s="108"/>
      <c r="L63" s="108"/>
      <c r="M63" s="78"/>
    </row>
    <row r="64" ht="24.0" customHeight="1">
      <c r="A64" s="78"/>
      <c r="B64" s="78"/>
      <c r="C64" s="78"/>
      <c r="D64" s="78"/>
      <c r="E64" s="78"/>
      <c r="F64" s="78"/>
      <c r="G64" s="78"/>
      <c r="H64" s="99"/>
      <c r="I64" s="108"/>
      <c r="J64" s="108"/>
      <c r="K64" s="108"/>
      <c r="L64" s="108"/>
      <c r="M64" s="78"/>
    </row>
    <row r="65" ht="24.0" customHeight="1">
      <c r="A65" s="78"/>
      <c r="B65" s="78"/>
      <c r="C65" s="78"/>
      <c r="D65" s="78"/>
      <c r="E65" s="78"/>
      <c r="F65" s="78"/>
      <c r="G65" s="78"/>
      <c r="H65" s="99"/>
      <c r="I65" s="108"/>
      <c r="J65" s="108"/>
      <c r="K65" s="108"/>
      <c r="L65" s="108"/>
      <c r="M65" s="78"/>
    </row>
    <row r="66" ht="24.0" customHeight="1">
      <c r="A66" s="78"/>
      <c r="B66" s="78"/>
      <c r="C66" s="78"/>
      <c r="D66" s="78"/>
      <c r="E66" s="78"/>
      <c r="F66" s="78"/>
      <c r="G66" s="78"/>
      <c r="H66" s="99"/>
      <c r="I66" s="108"/>
      <c r="J66" s="108"/>
      <c r="K66" s="108"/>
      <c r="L66" s="108"/>
      <c r="M66" s="78"/>
    </row>
    <row r="67" ht="24.0" customHeight="1">
      <c r="A67" s="78"/>
      <c r="B67" s="78"/>
      <c r="C67" s="78"/>
      <c r="D67" s="78"/>
      <c r="E67" s="78"/>
      <c r="F67" s="78"/>
      <c r="G67" s="78"/>
      <c r="H67" s="99"/>
      <c r="I67" s="108"/>
      <c r="J67" s="108"/>
      <c r="K67" s="108"/>
      <c r="L67" s="108"/>
      <c r="M67" s="78"/>
    </row>
    <row r="68" ht="24.0" customHeight="1">
      <c r="A68" s="78"/>
      <c r="B68" s="78"/>
      <c r="C68" s="78"/>
      <c r="D68" s="78"/>
      <c r="E68" s="78"/>
      <c r="F68" s="78"/>
      <c r="G68" s="78"/>
      <c r="H68" s="99"/>
      <c r="I68" s="108"/>
      <c r="J68" s="108"/>
      <c r="K68" s="108"/>
      <c r="L68" s="108"/>
      <c r="M68" s="78"/>
    </row>
    <row r="69" ht="24.0" customHeight="1">
      <c r="A69" s="78"/>
      <c r="B69" s="78"/>
      <c r="C69" s="78"/>
      <c r="D69" s="78"/>
      <c r="E69" s="78"/>
      <c r="F69" s="78"/>
      <c r="G69" s="78"/>
      <c r="H69" s="99"/>
      <c r="I69" s="108"/>
      <c r="J69" s="108"/>
      <c r="K69" s="108"/>
      <c r="L69" s="108"/>
      <c r="M69" s="78"/>
    </row>
    <row r="70" ht="24.0" customHeight="1">
      <c r="A70" s="78"/>
      <c r="B70" s="78"/>
      <c r="C70" s="78"/>
      <c r="D70" s="78"/>
      <c r="E70" s="78"/>
      <c r="F70" s="78"/>
      <c r="G70" s="78"/>
      <c r="H70" s="99"/>
      <c r="I70" s="108"/>
      <c r="J70" s="108"/>
      <c r="K70" s="108"/>
      <c r="L70" s="108"/>
      <c r="M70" s="78"/>
    </row>
    <row r="71" ht="24.0" customHeight="1">
      <c r="A71" s="78"/>
      <c r="B71" s="78"/>
      <c r="C71" s="78"/>
      <c r="D71" s="78"/>
      <c r="E71" s="78"/>
      <c r="F71" s="78"/>
      <c r="G71" s="78"/>
      <c r="H71" s="99"/>
      <c r="I71" s="108"/>
      <c r="J71" s="108"/>
      <c r="K71" s="108"/>
      <c r="L71" s="108"/>
      <c r="M71" s="78"/>
    </row>
    <row r="72" ht="24.0" customHeight="1">
      <c r="A72" s="78"/>
      <c r="B72" s="78"/>
      <c r="C72" s="78"/>
      <c r="D72" s="78"/>
      <c r="E72" s="78"/>
      <c r="F72" s="78"/>
      <c r="G72" s="78"/>
      <c r="H72" s="99"/>
      <c r="I72" s="108"/>
      <c r="J72" s="108"/>
      <c r="K72" s="108"/>
      <c r="L72" s="108"/>
      <c r="M72" s="78"/>
    </row>
    <row r="73" ht="24.0" customHeight="1">
      <c r="A73" s="78"/>
      <c r="B73" s="78"/>
      <c r="C73" s="78"/>
      <c r="D73" s="78"/>
      <c r="E73" s="78"/>
      <c r="F73" s="78"/>
      <c r="G73" s="78"/>
      <c r="H73" s="99"/>
      <c r="I73" s="108"/>
      <c r="J73" s="108"/>
      <c r="K73" s="108"/>
      <c r="L73" s="108"/>
      <c r="M73" s="78"/>
    </row>
    <row r="74" ht="24.0" customHeight="1">
      <c r="A74" s="78"/>
      <c r="B74" s="78"/>
      <c r="C74" s="78"/>
      <c r="D74" s="78"/>
      <c r="E74" s="78"/>
      <c r="F74" s="78"/>
      <c r="G74" s="78"/>
      <c r="H74" s="99"/>
      <c r="I74" s="108"/>
      <c r="J74" s="108"/>
      <c r="K74" s="108"/>
      <c r="L74" s="108"/>
      <c r="M74" s="78"/>
    </row>
    <row r="75" ht="24.0" customHeight="1">
      <c r="A75" s="78"/>
      <c r="B75" s="78"/>
      <c r="C75" s="78"/>
      <c r="D75" s="78"/>
      <c r="E75" s="78"/>
      <c r="F75" s="78"/>
      <c r="G75" s="78"/>
      <c r="H75" s="99"/>
      <c r="I75" s="108"/>
      <c r="J75" s="108"/>
      <c r="K75" s="108"/>
      <c r="L75" s="108"/>
      <c r="M75" s="78"/>
    </row>
    <row r="76" ht="24.0" customHeight="1">
      <c r="A76" s="78"/>
      <c r="B76" s="78"/>
      <c r="C76" s="78"/>
      <c r="D76" s="78"/>
      <c r="E76" s="78"/>
      <c r="F76" s="78"/>
      <c r="G76" s="78"/>
      <c r="H76" s="99"/>
      <c r="I76" s="108"/>
      <c r="J76" s="108"/>
      <c r="K76" s="108"/>
      <c r="L76" s="108"/>
      <c r="M76" s="78"/>
    </row>
    <row r="77" ht="24.0" customHeight="1">
      <c r="A77" s="78"/>
      <c r="B77" s="78"/>
      <c r="C77" s="78"/>
      <c r="D77" s="78"/>
      <c r="E77" s="78"/>
      <c r="F77" s="78"/>
      <c r="G77" s="78"/>
      <c r="H77" s="99"/>
      <c r="I77" s="108"/>
      <c r="J77" s="108"/>
      <c r="K77" s="108"/>
      <c r="L77" s="108"/>
      <c r="M77" s="78"/>
    </row>
    <row r="78" ht="24.0" customHeight="1">
      <c r="A78" s="78"/>
      <c r="B78" s="78"/>
      <c r="C78" s="78"/>
      <c r="D78" s="78"/>
      <c r="E78" s="78"/>
      <c r="F78" s="78"/>
      <c r="G78" s="78"/>
      <c r="H78" s="99"/>
      <c r="I78" s="108"/>
      <c r="J78" s="108"/>
      <c r="K78" s="108"/>
      <c r="L78" s="108"/>
      <c r="M78" s="78"/>
    </row>
    <row r="79" ht="24.0" customHeight="1">
      <c r="A79" s="78"/>
      <c r="B79" s="78"/>
      <c r="C79" s="78"/>
      <c r="D79" s="78"/>
      <c r="E79" s="78"/>
      <c r="F79" s="78"/>
      <c r="G79" s="78"/>
      <c r="H79" s="99"/>
      <c r="I79" s="108"/>
      <c r="J79" s="108"/>
      <c r="K79" s="108"/>
      <c r="L79" s="108"/>
      <c r="M79" s="78"/>
    </row>
    <row r="80" ht="24.0" customHeight="1">
      <c r="A80" s="78"/>
      <c r="B80" s="78"/>
      <c r="C80" s="78"/>
      <c r="D80" s="78"/>
      <c r="E80" s="78"/>
      <c r="F80" s="78"/>
      <c r="G80" s="78"/>
      <c r="H80" s="99"/>
      <c r="I80" s="108"/>
      <c r="J80" s="108"/>
      <c r="K80" s="108"/>
      <c r="L80" s="108"/>
      <c r="M80" s="78"/>
    </row>
    <row r="81" ht="24.0" customHeight="1">
      <c r="A81" s="78"/>
      <c r="B81" s="78"/>
      <c r="C81" s="78"/>
      <c r="D81" s="78"/>
      <c r="E81" s="78"/>
      <c r="F81" s="78"/>
      <c r="G81" s="78"/>
      <c r="H81" s="99"/>
      <c r="I81" s="108"/>
      <c r="J81" s="108"/>
      <c r="K81" s="108"/>
      <c r="L81" s="108"/>
      <c r="M81" s="78"/>
    </row>
    <row r="82" ht="24.0" customHeight="1">
      <c r="A82" s="78"/>
      <c r="B82" s="78"/>
      <c r="C82" s="78"/>
      <c r="D82" s="78"/>
      <c r="E82" s="78"/>
      <c r="F82" s="78"/>
      <c r="G82" s="78"/>
      <c r="H82" s="99"/>
      <c r="I82" s="108"/>
      <c r="J82" s="108"/>
      <c r="K82" s="108"/>
      <c r="L82" s="108"/>
      <c r="M82" s="78"/>
    </row>
    <row r="83" ht="24.0" customHeight="1">
      <c r="A83" s="78"/>
      <c r="B83" s="78"/>
      <c r="C83" s="78"/>
      <c r="D83" s="78"/>
      <c r="E83" s="78"/>
      <c r="F83" s="78"/>
      <c r="G83" s="78"/>
      <c r="H83" s="99"/>
      <c r="I83" s="108"/>
      <c r="J83" s="108"/>
      <c r="K83" s="108"/>
      <c r="L83" s="108"/>
      <c r="M83" s="78"/>
    </row>
    <row r="84" ht="24.0" customHeight="1">
      <c r="A84" s="78"/>
      <c r="B84" s="78"/>
      <c r="C84" s="78"/>
      <c r="D84" s="78"/>
      <c r="E84" s="78"/>
      <c r="F84" s="78"/>
      <c r="G84" s="78"/>
      <c r="H84" s="99"/>
      <c r="I84" s="108"/>
      <c r="J84" s="108"/>
      <c r="K84" s="108"/>
      <c r="L84" s="108"/>
      <c r="M84" s="78"/>
    </row>
    <row r="85" ht="24.0" customHeight="1">
      <c r="A85" s="78"/>
      <c r="B85" s="78"/>
      <c r="C85" s="78"/>
      <c r="D85" s="78"/>
      <c r="E85" s="78"/>
      <c r="F85" s="78"/>
      <c r="G85" s="78"/>
      <c r="H85" s="99"/>
      <c r="I85" s="108"/>
      <c r="J85" s="108"/>
      <c r="K85" s="108"/>
      <c r="L85" s="108"/>
      <c r="M85" s="78"/>
    </row>
    <row r="86" ht="24.0" customHeight="1">
      <c r="A86" s="78"/>
      <c r="B86" s="78"/>
      <c r="C86" s="78"/>
      <c r="D86" s="78"/>
      <c r="E86" s="78"/>
      <c r="F86" s="78"/>
      <c r="G86" s="78"/>
      <c r="H86" s="99"/>
      <c r="I86" s="108"/>
      <c r="J86" s="108"/>
      <c r="K86" s="108"/>
      <c r="L86" s="108"/>
      <c r="M86" s="78"/>
    </row>
    <row r="87" ht="24.0" customHeight="1">
      <c r="A87" s="78"/>
      <c r="B87" s="78"/>
      <c r="C87" s="78"/>
      <c r="D87" s="78"/>
      <c r="E87" s="78"/>
      <c r="F87" s="78"/>
      <c r="G87" s="78"/>
      <c r="H87" s="99"/>
      <c r="I87" s="108"/>
      <c r="J87" s="108"/>
      <c r="K87" s="108"/>
      <c r="L87" s="108"/>
      <c r="M87" s="78"/>
    </row>
    <row r="88" ht="24.0" customHeight="1">
      <c r="A88" s="78"/>
      <c r="B88" s="78"/>
      <c r="C88" s="78"/>
      <c r="D88" s="78"/>
      <c r="E88" s="78"/>
      <c r="F88" s="78"/>
      <c r="G88" s="78"/>
      <c r="H88" s="99"/>
      <c r="I88" s="108"/>
      <c r="J88" s="108"/>
      <c r="K88" s="108"/>
      <c r="L88" s="108"/>
      <c r="M88" s="78"/>
    </row>
    <row r="89" ht="24.0" customHeight="1">
      <c r="A89" s="78"/>
      <c r="B89" s="78"/>
      <c r="C89" s="78"/>
      <c r="D89" s="78"/>
      <c r="E89" s="78"/>
      <c r="F89" s="78"/>
      <c r="G89" s="78"/>
      <c r="H89" s="99"/>
      <c r="I89" s="108"/>
      <c r="J89" s="108"/>
      <c r="K89" s="108"/>
      <c r="L89" s="108"/>
      <c r="M89" s="78"/>
    </row>
    <row r="90" ht="24.0" customHeight="1">
      <c r="A90" s="78"/>
      <c r="B90" s="78"/>
      <c r="C90" s="78"/>
      <c r="D90" s="78"/>
      <c r="E90" s="78"/>
      <c r="F90" s="78"/>
      <c r="G90" s="78"/>
      <c r="H90" s="99"/>
      <c r="I90" s="108"/>
      <c r="J90" s="108"/>
      <c r="K90" s="108"/>
      <c r="L90" s="108"/>
      <c r="M90" s="78"/>
    </row>
    <row r="91" ht="24.0" customHeight="1">
      <c r="A91" s="78"/>
      <c r="B91" s="78"/>
      <c r="C91" s="78"/>
      <c r="D91" s="78"/>
      <c r="E91" s="78"/>
      <c r="F91" s="78"/>
      <c r="G91" s="78"/>
      <c r="H91" s="99"/>
      <c r="I91" s="108"/>
      <c r="J91" s="108"/>
      <c r="K91" s="108"/>
      <c r="L91" s="108"/>
      <c r="M91" s="78"/>
    </row>
    <row r="92" ht="24.0" customHeight="1">
      <c r="A92" s="78"/>
      <c r="B92" s="78"/>
      <c r="C92" s="78"/>
      <c r="D92" s="78"/>
      <c r="E92" s="78"/>
      <c r="F92" s="78"/>
      <c r="G92" s="78"/>
      <c r="H92" s="99"/>
      <c r="I92" s="108"/>
      <c r="J92" s="108"/>
      <c r="K92" s="108"/>
      <c r="L92" s="108"/>
      <c r="M92" s="78"/>
    </row>
    <row r="93" ht="24.0" customHeight="1">
      <c r="A93" s="78"/>
      <c r="B93" s="78"/>
      <c r="C93" s="78"/>
      <c r="D93" s="78"/>
      <c r="E93" s="78"/>
      <c r="F93" s="78"/>
      <c r="G93" s="78"/>
      <c r="H93" s="99"/>
      <c r="I93" s="108"/>
      <c r="J93" s="108"/>
      <c r="K93" s="108"/>
      <c r="L93" s="108"/>
      <c r="M93" s="78"/>
    </row>
    <row r="94" ht="24.0" customHeight="1">
      <c r="A94" s="78"/>
      <c r="B94" s="78"/>
      <c r="C94" s="78"/>
      <c r="D94" s="78"/>
      <c r="E94" s="78"/>
      <c r="F94" s="78"/>
      <c r="G94" s="78"/>
      <c r="H94" s="99"/>
      <c r="I94" s="108"/>
      <c r="J94" s="108"/>
      <c r="K94" s="108"/>
      <c r="L94" s="108"/>
      <c r="M94" s="78"/>
    </row>
    <row r="95" ht="24.0" customHeight="1">
      <c r="A95" s="78"/>
      <c r="B95" s="78"/>
      <c r="C95" s="78"/>
      <c r="D95" s="78"/>
      <c r="E95" s="78"/>
      <c r="F95" s="78"/>
      <c r="G95" s="78"/>
      <c r="H95" s="99"/>
      <c r="I95" s="108"/>
      <c r="J95" s="108"/>
      <c r="K95" s="108"/>
      <c r="L95" s="108"/>
      <c r="M95" s="78"/>
    </row>
    <row r="96" ht="24.0" customHeight="1">
      <c r="A96" s="78"/>
      <c r="B96" s="78"/>
      <c r="C96" s="78"/>
      <c r="D96" s="78"/>
      <c r="E96" s="78"/>
      <c r="F96" s="78"/>
      <c r="G96" s="78"/>
      <c r="H96" s="99"/>
      <c r="I96" s="108"/>
      <c r="J96" s="108"/>
      <c r="K96" s="108"/>
      <c r="L96" s="108"/>
      <c r="M96" s="78"/>
    </row>
    <row r="97" ht="24.0" customHeight="1">
      <c r="A97" s="78"/>
      <c r="B97" s="78"/>
      <c r="C97" s="78"/>
      <c r="D97" s="78"/>
      <c r="E97" s="78"/>
      <c r="F97" s="78"/>
      <c r="G97" s="78"/>
      <c r="H97" s="99"/>
      <c r="I97" s="108"/>
      <c r="J97" s="108"/>
      <c r="K97" s="108"/>
      <c r="L97" s="108"/>
      <c r="M97" s="78"/>
    </row>
    <row r="98" ht="24.0" customHeight="1">
      <c r="A98" s="78"/>
      <c r="B98" s="78"/>
      <c r="C98" s="78"/>
      <c r="D98" s="78"/>
      <c r="E98" s="78"/>
      <c r="F98" s="78"/>
      <c r="G98" s="78"/>
      <c r="H98" s="99"/>
      <c r="I98" s="108"/>
      <c r="J98" s="108"/>
      <c r="K98" s="108"/>
      <c r="L98" s="108"/>
      <c r="M98" s="78"/>
    </row>
    <row r="99" ht="24.0" customHeight="1">
      <c r="A99" s="78"/>
      <c r="B99" s="78"/>
      <c r="C99" s="78"/>
      <c r="D99" s="78"/>
      <c r="E99" s="78"/>
      <c r="F99" s="78"/>
      <c r="G99" s="78"/>
      <c r="H99" s="99"/>
      <c r="I99" s="108"/>
      <c r="J99" s="108"/>
      <c r="K99" s="108"/>
      <c r="L99" s="108"/>
      <c r="M99" s="78"/>
    </row>
    <row r="100" ht="24.0" customHeight="1">
      <c r="A100" s="78"/>
      <c r="B100" s="78"/>
      <c r="C100" s="78"/>
      <c r="D100" s="78"/>
      <c r="E100" s="78"/>
      <c r="F100" s="78"/>
      <c r="G100" s="78"/>
      <c r="H100" s="99"/>
      <c r="I100" s="108"/>
      <c r="J100" s="108"/>
      <c r="K100" s="108"/>
      <c r="L100" s="108"/>
      <c r="M100" s="78"/>
    </row>
    <row r="101" ht="24.0" customHeight="1">
      <c r="A101" s="78"/>
      <c r="B101" s="78"/>
      <c r="C101" s="78"/>
      <c r="D101" s="78"/>
      <c r="E101" s="78"/>
      <c r="F101" s="78"/>
      <c r="G101" s="78"/>
      <c r="H101" s="99"/>
      <c r="I101" s="108"/>
      <c r="J101" s="108"/>
      <c r="K101" s="108"/>
      <c r="L101" s="108"/>
      <c r="M101" s="78"/>
    </row>
    <row r="102" ht="24.0" customHeight="1">
      <c r="A102" s="78"/>
      <c r="B102" s="78"/>
      <c r="C102" s="78"/>
      <c r="D102" s="78"/>
      <c r="E102" s="78"/>
      <c r="F102" s="78"/>
      <c r="G102" s="78"/>
      <c r="H102" s="99"/>
      <c r="I102" s="108"/>
      <c r="J102" s="108"/>
      <c r="K102" s="108"/>
      <c r="L102" s="108"/>
      <c r="M102" s="78"/>
    </row>
    <row r="103" ht="24.0" customHeight="1">
      <c r="A103" s="78"/>
      <c r="B103" s="78"/>
      <c r="C103" s="78"/>
      <c r="D103" s="78"/>
      <c r="E103" s="78"/>
      <c r="F103" s="78"/>
      <c r="G103" s="78"/>
      <c r="H103" s="99"/>
      <c r="I103" s="108"/>
      <c r="J103" s="108"/>
      <c r="K103" s="108"/>
      <c r="L103" s="108"/>
      <c r="M103" s="78"/>
    </row>
    <row r="104" ht="24.0" customHeight="1">
      <c r="A104" s="78"/>
      <c r="B104" s="78"/>
      <c r="C104" s="78"/>
      <c r="D104" s="78"/>
      <c r="E104" s="78"/>
      <c r="F104" s="78"/>
      <c r="G104" s="78"/>
      <c r="H104" s="99"/>
      <c r="I104" s="108"/>
      <c r="J104" s="108"/>
      <c r="K104" s="108"/>
      <c r="L104" s="108"/>
      <c r="M104" s="78"/>
    </row>
    <row r="105" ht="24.0" customHeight="1">
      <c r="A105" s="78"/>
      <c r="B105" s="78"/>
      <c r="C105" s="78"/>
      <c r="D105" s="78"/>
      <c r="E105" s="78"/>
      <c r="F105" s="78"/>
      <c r="G105" s="78"/>
      <c r="H105" s="99"/>
      <c r="I105" s="108"/>
      <c r="J105" s="108"/>
      <c r="K105" s="108"/>
      <c r="L105" s="108"/>
      <c r="M105" s="78"/>
    </row>
    <row r="106" ht="24.0" customHeight="1">
      <c r="A106" s="78"/>
      <c r="B106" s="78"/>
      <c r="C106" s="78"/>
      <c r="D106" s="78"/>
      <c r="E106" s="78"/>
      <c r="F106" s="78"/>
      <c r="G106" s="78"/>
      <c r="H106" s="99"/>
      <c r="I106" s="108"/>
      <c r="J106" s="108"/>
      <c r="K106" s="108"/>
      <c r="L106" s="108"/>
      <c r="M106" s="78"/>
    </row>
    <row r="107" ht="24.0" customHeight="1">
      <c r="A107" s="78"/>
      <c r="B107" s="78"/>
      <c r="C107" s="78"/>
      <c r="D107" s="78"/>
      <c r="E107" s="78"/>
      <c r="F107" s="78"/>
      <c r="G107" s="78"/>
      <c r="H107" s="99"/>
      <c r="I107" s="108"/>
      <c r="J107" s="108"/>
      <c r="K107" s="108"/>
      <c r="L107" s="108"/>
      <c r="M107" s="78"/>
    </row>
    <row r="108" ht="24.0" customHeight="1">
      <c r="A108" s="78"/>
      <c r="B108" s="78"/>
      <c r="C108" s="78"/>
      <c r="D108" s="78"/>
      <c r="E108" s="78"/>
      <c r="F108" s="78"/>
      <c r="G108" s="78"/>
      <c r="H108" s="99"/>
      <c r="I108" s="108"/>
      <c r="J108" s="108"/>
      <c r="K108" s="108"/>
      <c r="L108" s="108"/>
      <c r="M108" s="78"/>
    </row>
    <row r="109" ht="24.0" customHeight="1">
      <c r="A109" s="78"/>
      <c r="B109" s="78"/>
      <c r="C109" s="78"/>
      <c r="D109" s="78"/>
      <c r="E109" s="78"/>
      <c r="F109" s="78"/>
      <c r="G109" s="78"/>
      <c r="H109" s="99"/>
      <c r="I109" s="108"/>
      <c r="J109" s="108"/>
      <c r="K109" s="108"/>
      <c r="L109" s="108"/>
      <c r="M109" s="78"/>
    </row>
    <row r="110" ht="24.0" customHeight="1">
      <c r="A110" s="78"/>
      <c r="B110" s="78"/>
      <c r="C110" s="78"/>
      <c r="D110" s="78"/>
      <c r="E110" s="78"/>
      <c r="F110" s="78"/>
      <c r="G110" s="78"/>
      <c r="H110" s="99"/>
      <c r="I110" s="108"/>
      <c r="J110" s="108"/>
      <c r="K110" s="108"/>
      <c r="L110" s="108"/>
      <c r="M110" s="78"/>
    </row>
    <row r="111" ht="24.0" customHeight="1">
      <c r="A111" s="78"/>
      <c r="B111" s="78"/>
      <c r="C111" s="78"/>
      <c r="D111" s="78"/>
      <c r="E111" s="78"/>
      <c r="F111" s="78"/>
      <c r="G111" s="78"/>
      <c r="H111" s="99"/>
      <c r="I111" s="108"/>
      <c r="J111" s="108"/>
      <c r="K111" s="108"/>
      <c r="L111" s="108"/>
      <c r="M111" s="78"/>
    </row>
    <row r="112" ht="24.0" customHeight="1">
      <c r="A112" s="78"/>
      <c r="B112" s="78"/>
      <c r="C112" s="78"/>
      <c r="D112" s="78"/>
      <c r="E112" s="78"/>
      <c r="F112" s="78"/>
      <c r="G112" s="78"/>
      <c r="H112" s="99"/>
      <c r="I112" s="108"/>
      <c r="J112" s="108"/>
      <c r="K112" s="108"/>
      <c r="L112" s="108"/>
      <c r="M112" s="78"/>
    </row>
    <row r="113" ht="24.0" customHeight="1">
      <c r="A113" s="78"/>
      <c r="B113" s="78"/>
      <c r="C113" s="78"/>
      <c r="D113" s="78"/>
      <c r="E113" s="78"/>
      <c r="F113" s="78"/>
      <c r="G113" s="78"/>
      <c r="H113" s="99"/>
      <c r="I113" s="108"/>
      <c r="J113" s="108"/>
      <c r="K113" s="108"/>
      <c r="L113" s="108"/>
      <c r="M113" s="78"/>
    </row>
    <row r="114" ht="24.0" customHeight="1">
      <c r="A114" s="78"/>
      <c r="B114" s="78"/>
      <c r="C114" s="78"/>
      <c r="D114" s="78"/>
      <c r="E114" s="78"/>
      <c r="F114" s="78"/>
      <c r="G114" s="78"/>
      <c r="H114" s="99"/>
      <c r="I114" s="108"/>
      <c r="J114" s="108"/>
      <c r="K114" s="108"/>
      <c r="L114" s="108"/>
      <c r="M114" s="78"/>
    </row>
    <row r="115" ht="24.0" customHeight="1">
      <c r="A115" s="78"/>
      <c r="B115" s="78"/>
      <c r="C115" s="78"/>
      <c r="D115" s="78"/>
      <c r="E115" s="78"/>
      <c r="F115" s="78"/>
      <c r="G115" s="78"/>
      <c r="H115" s="99"/>
      <c r="I115" s="108"/>
      <c r="J115" s="108"/>
      <c r="K115" s="108"/>
      <c r="L115" s="108"/>
      <c r="M115" s="78"/>
    </row>
    <row r="116" ht="24.0" customHeight="1">
      <c r="A116" s="78"/>
      <c r="B116" s="78"/>
      <c r="C116" s="78"/>
      <c r="D116" s="78"/>
      <c r="E116" s="78"/>
      <c r="F116" s="78"/>
      <c r="G116" s="78"/>
      <c r="H116" s="99"/>
      <c r="I116" s="108"/>
      <c r="J116" s="108"/>
      <c r="K116" s="108"/>
      <c r="L116" s="108"/>
      <c r="M116" s="78"/>
    </row>
    <row r="117" ht="24.0" customHeight="1">
      <c r="A117" s="78"/>
      <c r="B117" s="78"/>
      <c r="C117" s="78"/>
      <c r="D117" s="78"/>
      <c r="E117" s="78"/>
      <c r="F117" s="78"/>
      <c r="G117" s="78"/>
      <c r="H117" s="99"/>
      <c r="I117" s="108"/>
      <c r="J117" s="108"/>
      <c r="K117" s="108"/>
      <c r="L117" s="108"/>
      <c r="M117" s="78"/>
    </row>
    <row r="118" ht="24.0" customHeight="1">
      <c r="A118" s="78"/>
      <c r="B118" s="78"/>
      <c r="C118" s="78"/>
      <c r="D118" s="78"/>
      <c r="E118" s="78"/>
      <c r="F118" s="78"/>
      <c r="G118" s="78"/>
      <c r="H118" s="99"/>
      <c r="I118" s="108"/>
      <c r="J118" s="108"/>
      <c r="K118" s="108"/>
      <c r="L118" s="108"/>
      <c r="M118" s="78"/>
    </row>
    <row r="119" ht="24.0" customHeight="1">
      <c r="A119" s="78"/>
      <c r="B119" s="78"/>
      <c r="C119" s="78"/>
      <c r="D119" s="78"/>
      <c r="E119" s="78"/>
      <c r="F119" s="78"/>
      <c r="G119" s="78"/>
      <c r="H119" s="99"/>
      <c r="I119" s="108"/>
      <c r="J119" s="108"/>
      <c r="K119" s="108"/>
      <c r="L119" s="108"/>
      <c r="M119" s="78"/>
    </row>
    <row r="120" ht="24.0" customHeight="1">
      <c r="A120" s="78"/>
      <c r="B120" s="78"/>
      <c r="C120" s="78"/>
      <c r="D120" s="78"/>
      <c r="E120" s="78"/>
      <c r="F120" s="78"/>
      <c r="G120" s="78"/>
      <c r="H120" s="99"/>
      <c r="I120" s="108"/>
      <c r="J120" s="108"/>
      <c r="K120" s="108"/>
      <c r="L120" s="108"/>
      <c r="M120" s="78"/>
    </row>
    <row r="121" ht="24.0" customHeight="1">
      <c r="A121" s="78"/>
      <c r="B121" s="78"/>
      <c r="C121" s="78"/>
      <c r="D121" s="78"/>
      <c r="E121" s="78"/>
      <c r="F121" s="78"/>
      <c r="G121" s="78"/>
      <c r="H121" s="99"/>
      <c r="I121" s="108"/>
      <c r="J121" s="108"/>
      <c r="K121" s="108"/>
      <c r="L121" s="108"/>
      <c r="M121" s="78"/>
    </row>
    <row r="122" ht="24.0" customHeight="1">
      <c r="A122" s="78"/>
      <c r="B122" s="78"/>
      <c r="C122" s="78"/>
      <c r="D122" s="78"/>
      <c r="E122" s="78"/>
      <c r="F122" s="78"/>
      <c r="G122" s="78"/>
      <c r="H122" s="99"/>
      <c r="I122" s="108"/>
      <c r="J122" s="108"/>
      <c r="K122" s="108"/>
      <c r="L122" s="108"/>
      <c r="M122" s="78"/>
    </row>
    <row r="123" ht="24.0" customHeight="1">
      <c r="A123" s="78"/>
      <c r="B123" s="78"/>
      <c r="C123" s="78"/>
      <c r="D123" s="78"/>
      <c r="E123" s="78"/>
      <c r="F123" s="78"/>
      <c r="G123" s="78"/>
      <c r="H123" s="99"/>
      <c r="I123" s="108"/>
      <c r="J123" s="108"/>
      <c r="K123" s="108"/>
      <c r="L123" s="108"/>
      <c r="M123" s="78"/>
    </row>
    <row r="124" ht="24.0" customHeight="1">
      <c r="A124" s="78"/>
      <c r="B124" s="78"/>
      <c r="C124" s="78"/>
      <c r="D124" s="78"/>
      <c r="E124" s="78"/>
      <c r="F124" s="78"/>
      <c r="G124" s="78"/>
      <c r="H124" s="99"/>
      <c r="I124" s="108"/>
      <c r="J124" s="108"/>
      <c r="K124" s="108"/>
      <c r="L124" s="108"/>
      <c r="M124" s="78"/>
    </row>
    <row r="125" ht="24.0" customHeight="1">
      <c r="A125" s="78"/>
      <c r="B125" s="78"/>
      <c r="C125" s="78"/>
      <c r="D125" s="78"/>
      <c r="E125" s="78"/>
      <c r="F125" s="78"/>
      <c r="G125" s="78"/>
      <c r="H125" s="99"/>
      <c r="I125" s="108"/>
      <c r="J125" s="108"/>
      <c r="K125" s="108"/>
      <c r="L125" s="108"/>
      <c r="M125" s="78"/>
    </row>
    <row r="126" ht="24.0" customHeight="1">
      <c r="A126" s="78"/>
      <c r="B126" s="78"/>
      <c r="C126" s="78"/>
      <c r="D126" s="78"/>
      <c r="E126" s="78"/>
      <c r="F126" s="78"/>
      <c r="G126" s="78"/>
      <c r="H126" s="99"/>
      <c r="I126" s="108"/>
      <c r="J126" s="108"/>
      <c r="K126" s="108"/>
      <c r="L126" s="108"/>
      <c r="M126" s="78"/>
    </row>
    <row r="127" ht="24.0" customHeight="1">
      <c r="A127" s="78"/>
      <c r="B127" s="78"/>
      <c r="C127" s="78"/>
      <c r="D127" s="78"/>
      <c r="E127" s="78"/>
      <c r="F127" s="78"/>
      <c r="G127" s="78"/>
      <c r="H127" s="99"/>
      <c r="I127" s="108"/>
      <c r="J127" s="108"/>
      <c r="K127" s="108"/>
      <c r="L127" s="108"/>
      <c r="M127" s="78"/>
    </row>
    <row r="128" ht="24.0" customHeight="1">
      <c r="A128" s="78"/>
      <c r="B128" s="78"/>
      <c r="C128" s="78"/>
      <c r="D128" s="78"/>
      <c r="E128" s="78"/>
      <c r="F128" s="78"/>
      <c r="G128" s="78"/>
      <c r="H128" s="99"/>
      <c r="I128" s="108"/>
      <c r="J128" s="108"/>
      <c r="K128" s="108"/>
      <c r="L128" s="108"/>
      <c r="M128" s="78"/>
    </row>
    <row r="129" ht="24.0" customHeight="1">
      <c r="A129" s="78"/>
      <c r="B129" s="78"/>
      <c r="C129" s="78"/>
      <c r="D129" s="78"/>
      <c r="E129" s="78"/>
      <c r="F129" s="78"/>
      <c r="G129" s="78"/>
      <c r="H129" s="99"/>
      <c r="I129" s="108"/>
      <c r="J129" s="108"/>
      <c r="K129" s="108"/>
      <c r="L129" s="108"/>
      <c r="M129" s="78"/>
    </row>
    <row r="130" ht="24.0" customHeight="1">
      <c r="A130" s="78"/>
      <c r="B130" s="78"/>
      <c r="C130" s="78"/>
      <c r="D130" s="78"/>
      <c r="E130" s="78"/>
      <c r="F130" s="78"/>
      <c r="G130" s="78"/>
      <c r="H130" s="99"/>
      <c r="I130" s="108"/>
      <c r="J130" s="108"/>
      <c r="K130" s="108"/>
      <c r="L130" s="108"/>
      <c r="M130" s="78"/>
    </row>
    <row r="131" ht="24.0" customHeight="1">
      <c r="A131" s="78"/>
      <c r="B131" s="78"/>
      <c r="C131" s="78"/>
      <c r="D131" s="78"/>
      <c r="E131" s="78"/>
      <c r="F131" s="78"/>
      <c r="G131" s="78"/>
      <c r="H131" s="99"/>
      <c r="I131" s="108"/>
      <c r="J131" s="108"/>
      <c r="K131" s="108"/>
      <c r="L131" s="108"/>
      <c r="M131" s="78"/>
    </row>
    <row r="132" ht="24.0" customHeight="1">
      <c r="A132" s="78"/>
      <c r="B132" s="78"/>
      <c r="C132" s="78"/>
      <c r="D132" s="78"/>
      <c r="E132" s="78"/>
      <c r="F132" s="78"/>
      <c r="G132" s="78"/>
      <c r="H132" s="99"/>
      <c r="I132" s="108"/>
      <c r="J132" s="108"/>
      <c r="K132" s="108"/>
      <c r="L132" s="108"/>
      <c r="M132" s="78"/>
    </row>
    <row r="133" ht="24.0" customHeight="1">
      <c r="A133" s="78"/>
      <c r="B133" s="78"/>
      <c r="C133" s="78"/>
      <c r="D133" s="78"/>
      <c r="E133" s="78"/>
      <c r="F133" s="78"/>
      <c r="G133" s="78"/>
      <c r="H133" s="99"/>
      <c r="I133" s="108"/>
      <c r="J133" s="108"/>
      <c r="K133" s="108"/>
      <c r="L133" s="108"/>
      <c r="M133" s="78"/>
    </row>
    <row r="134" ht="24.0" customHeight="1">
      <c r="A134" s="78"/>
      <c r="B134" s="78"/>
      <c r="C134" s="78"/>
      <c r="D134" s="78"/>
      <c r="E134" s="78"/>
      <c r="F134" s="78"/>
      <c r="G134" s="78"/>
      <c r="H134" s="99"/>
      <c r="I134" s="108"/>
      <c r="J134" s="108"/>
      <c r="K134" s="108"/>
      <c r="L134" s="108"/>
      <c r="M134" s="78"/>
    </row>
    <row r="135" ht="24.0" customHeight="1">
      <c r="A135" s="78"/>
      <c r="B135" s="78"/>
      <c r="C135" s="78"/>
      <c r="D135" s="78"/>
      <c r="E135" s="78"/>
      <c r="F135" s="78"/>
      <c r="G135" s="78"/>
      <c r="H135" s="99"/>
      <c r="I135" s="108"/>
      <c r="J135" s="108"/>
      <c r="K135" s="108"/>
      <c r="L135" s="108"/>
      <c r="M135" s="78"/>
    </row>
    <row r="136" ht="24.0" customHeight="1">
      <c r="A136" s="78"/>
      <c r="B136" s="78"/>
      <c r="C136" s="78"/>
      <c r="D136" s="78"/>
      <c r="E136" s="78"/>
      <c r="F136" s="78"/>
      <c r="G136" s="78"/>
      <c r="H136" s="99"/>
      <c r="I136" s="108"/>
      <c r="J136" s="108"/>
      <c r="K136" s="108"/>
      <c r="L136" s="108"/>
      <c r="M136" s="78"/>
    </row>
    <row r="137" ht="24.0" customHeight="1">
      <c r="A137" s="78"/>
      <c r="B137" s="78"/>
      <c r="C137" s="78"/>
      <c r="D137" s="78"/>
      <c r="E137" s="78"/>
      <c r="F137" s="78"/>
      <c r="G137" s="78"/>
      <c r="H137" s="99"/>
      <c r="I137" s="108"/>
      <c r="J137" s="108"/>
      <c r="K137" s="108"/>
      <c r="L137" s="108"/>
      <c r="M137" s="78"/>
    </row>
    <row r="138" ht="24.0" customHeight="1">
      <c r="A138" s="78"/>
      <c r="B138" s="78"/>
      <c r="C138" s="78"/>
      <c r="D138" s="78"/>
      <c r="E138" s="78"/>
      <c r="F138" s="78"/>
      <c r="G138" s="78"/>
      <c r="H138" s="99"/>
      <c r="I138" s="108"/>
      <c r="J138" s="108"/>
      <c r="K138" s="108"/>
      <c r="L138" s="108"/>
      <c r="M138" s="78"/>
    </row>
    <row r="139" ht="24.0" customHeight="1">
      <c r="A139" s="78"/>
      <c r="B139" s="78"/>
      <c r="C139" s="78"/>
      <c r="D139" s="78"/>
      <c r="E139" s="78"/>
      <c r="F139" s="78"/>
      <c r="G139" s="78"/>
      <c r="H139" s="99"/>
      <c r="I139" s="108"/>
      <c r="J139" s="108"/>
      <c r="K139" s="108"/>
      <c r="L139" s="108"/>
      <c r="M139" s="78"/>
    </row>
    <row r="140" ht="24.0" customHeight="1">
      <c r="A140" s="78"/>
      <c r="B140" s="78"/>
      <c r="C140" s="78"/>
      <c r="D140" s="78"/>
      <c r="E140" s="78"/>
      <c r="F140" s="78"/>
      <c r="G140" s="78"/>
      <c r="H140" s="99"/>
      <c r="I140" s="108"/>
      <c r="J140" s="108"/>
      <c r="K140" s="108"/>
      <c r="L140" s="108"/>
      <c r="M140" s="78"/>
    </row>
    <row r="141" ht="24.0" customHeight="1">
      <c r="A141" s="78"/>
      <c r="B141" s="78"/>
      <c r="C141" s="78"/>
      <c r="D141" s="78"/>
      <c r="E141" s="78"/>
      <c r="F141" s="78"/>
      <c r="G141" s="78"/>
      <c r="H141" s="99"/>
      <c r="I141" s="108"/>
      <c r="J141" s="108"/>
      <c r="K141" s="108"/>
      <c r="L141" s="108"/>
      <c r="M141" s="78"/>
    </row>
    <row r="142" ht="24.0" customHeight="1">
      <c r="A142" s="78"/>
      <c r="B142" s="78"/>
      <c r="C142" s="78"/>
      <c r="D142" s="78"/>
      <c r="E142" s="78"/>
      <c r="F142" s="78"/>
      <c r="G142" s="78"/>
      <c r="H142" s="99"/>
      <c r="I142" s="108"/>
      <c r="J142" s="108"/>
      <c r="K142" s="108"/>
      <c r="L142" s="108"/>
      <c r="M142" s="78"/>
    </row>
    <row r="143" ht="24.0" customHeight="1">
      <c r="A143" s="78"/>
      <c r="B143" s="78"/>
      <c r="C143" s="78"/>
      <c r="D143" s="78"/>
      <c r="E143" s="78"/>
      <c r="F143" s="78"/>
      <c r="G143" s="78"/>
      <c r="H143" s="99"/>
      <c r="I143" s="108"/>
      <c r="J143" s="108"/>
      <c r="K143" s="108"/>
      <c r="L143" s="108"/>
      <c r="M143" s="78"/>
    </row>
    <row r="144" ht="24.0" customHeight="1">
      <c r="A144" s="78"/>
      <c r="B144" s="78"/>
      <c r="C144" s="78"/>
      <c r="D144" s="78"/>
      <c r="E144" s="78"/>
      <c r="F144" s="78"/>
      <c r="G144" s="78"/>
      <c r="H144" s="99"/>
      <c r="I144" s="108"/>
      <c r="J144" s="108"/>
      <c r="K144" s="108"/>
      <c r="L144" s="108"/>
      <c r="M144" s="78"/>
    </row>
    <row r="145" ht="24.0" customHeight="1">
      <c r="A145" s="78"/>
      <c r="B145" s="78"/>
      <c r="C145" s="78"/>
      <c r="D145" s="78"/>
      <c r="E145" s="78"/>
      <c r="F145" s="78"/>
      <c r="G145" s="78"/>
      <c r="H145" s="99"/>
      <c r="I145" s="108"/>
      <c r="J145" s="108"/>
      <c r="K145" s="108"/>
      <c r="L145" s="108"/>
      <c r="M145" s="78"/>
    </row>
    <row r="146" ht="24.0" customHeight="1">
      <c r="A146" s="78"/>
      <c r="B146" s="78"/>
      <c r="C146" s="78"/>
      <c r="D146" s="78"/>
      <c r="E146" s="78"/>
      <c r="F146" s="78"/>
      <c r="G146" s="78"/>
      <c r="H146" s="99"/>
      <c r="I146" s="108"/>
      <c r="J146" s="108"/>
      <c r="K146" s="108"/>
      <c r="L146" s="108"/>
      <c r="M146" s="78"/>
    </row>
    <row r="147" ht="24.0" customHeight="1">
      <c r="A147" s="78"/>
      <c r="B147" s="78"/>
      <c r="C147" s="78"/>
      <c r="D147" s="78"/>
      <c r="E147" s="78"/>
      <c r="F147" s="78"/>
      <c r="G147" s="78"/>
      <c r="H147" s="99"/>
      <c r="I147" s="108"/>
      <c r="J147" s="108"/>
      <c r="K147" s="108"/>
      <c r="L147" s="108"/>
      <c r="M147" s="78"/>
    </row>
    <row r="148" ht="24.0" customHeight="1">
      <c r="A148" s="78"/>
      <c r="B148" s="78"/>
      <c r="C148" s="78"/>
      <c r="D148" s="78"/>
      <c r="E148" s="78"/>
      <c r="F148" s="78"/>
      <c r="G148" s="78"/>
      <c r="H148" s="99"/>
      <c r="I148" s="108"/>
      <c r="J148" s="108"/>
      <c r="K148" s="108"/>
      <c r="L148" s="108"/>
      <c r="M148" s="78"/>
    </row>
    <row r="149" ht="24.0" customHeight="1">
      <c r="A149" s="78"/>
      <c r="B149" s="78"/>
      <c r="C149" s="78"/>
      <c r="D149" s="78"/>
      <c r="E149" s="78"/>
      <c r="F149" s="78"/>
      <c r="G149" s="78"/>
      <c r="H149" s="99"/>
      <c r="I149" s="108"/>
      <c r="J149" s="108"/>
      <c r="K149" s="108"/>
      <c r="L149" s="108"/>
      <c r="M149" s="78"/>
    </row>
    <row r="150" ht="24.0" customHeight="1">
      <c r="A150" s="78"/>
      <c r="B150" s="78"/>
      <c r="C150" s="78"/>
      <c r="D150" s="78"/>
      <c r="E150" s="78"/>
      <c r="F150" s="78"/>
      <c r="G150" s="78"/>
      <c r="H150" s="99"/>
      <c r="I150" s="108"/>
      <c r="J150" s="108"/>
      <c r="K150" s="108"/>
      <c r="L150" s="108"/>
      <c r="M150" s="78"/>
    </row>
    <row r="151" ht="24.0" customHeight="1">
      <c r="A151" s="78"/>
      <c r="B151" s="78"/>
      <c r="C151" s="78"/>
      <c r="D151" s="78"/>
      <c r="E151" s="78"/>
      <c r="F151" s="78"/>
      <c r="G151" s="78"/>
      <c r="H151" s="99"/>
      <c r="I151" s="108"/>
      <c r="J151" s="108"/>
      <c r="K151" s="108"/>
      <c r="L151" s="108"/>
      <c r="M151" s="78"/>
    </row>
    <row r="152" ht="24.0" customHeight="1">
      <c r="A152" s="78"/>
      <c r="B152" s="78"/>
      <c r="C152" s="78"/>
      <c r="D152" s="78"/>
      <c r="E152" s="78"/>
      <c r="F152" s="78"/>
      <c r="G152" s="78"/>
      <c r="H152" s="99"/>
      <c r="I152" s="108"/>
      <c r="J152" s="108"/>
      <c r="K152" s="108"/>
      <c r="L152" s="108"/>
      <c r="M152" s="78"/>
    </row>
    <row r="153" ht="24.0" customHeight="1">
      <c r="A153" s="78"/>
      <c r="B153" s="78"/>
      <c r="C153" s="78"/>
      <c r="D153" s="78"/>
      <c r="E153" s="78"/>
      <c r="F153" s="78"/>
      <c r="G153" s="78"/>
      <c r="H153" s="99"/>
      <c r="I153" s="108"/>
      <c r="J153" s="108"/>
      <c r="K153" s="108"/>
      <c r="L153" s="108"/>
      <c r="M153" s="78"/>
    </row>
    <row r="154" ht="24.0" customHeight="1">
      <c r="A154" s="78"/>
      <c r="B154" s="78"/>
      <c r="C154" s="78"/>
      <c r="D154" s="78"/>
      <c r="E154" s="78"/>
      <c r="F154" s="78"/>
      <c r="G154" s="78"/>
      <c r="H154" s="99"/>
      <c r="I154" s="108"/>
      <c r="J154" s="108"/>
      <c r="K154" s="108"/>
      <c r="L154" s="108"/>
      <c r="M154" s="78"/>
    </row>
    <row r="155" ht="24.0" customHeight="1">
      <c r="A155" s="78"/>
      <c r="B155" s="78"/>
      <c r="C155" s="78"/>
      <c r="D155" s="78"/>
      <c r="E155" s="78"/>
      <c r="F155" s="78"/>
      <c r="G155" s="78"/>
      <c r="H155" s="99"/>
      <c r="I155" s="108"/>
      <c r="J155" s="108"/>
      <c r="K155" s="108"/>
      <c r="L155" s="108"/>
      <c r="M155" s="78"/>
    </row>
    <row r="156" ht="24.0" customHeight="1">
      <c r="A156" s="78"/>
      <c r="B156" s="78"/>
      <c r="C156" s="78"/>
      <c r="D156" s="78"/>
      <c r="E156" s="78"/>
      <c r="F156" s="78"/>
      <c r="G156" s="78"/>
      <c r="H156" s="99"/>
      <c r="I156" s="108"/>
      <c r="J156" s="108"/>
      <c r="K156" s="108"/>
      <c r="L156" s="108"/>
      <c r="M156" s="78"/>
    </row>
    <row r="157" ht="24.0" customHeight="1">
      <c r="A157" s="78"/>
      <c r="B157" s="78"/>
      <c r="C157" s="78"/>
      <c r="D157" s="78"/>
      <c r="E157" s="78"/>
      <c r="F157" s="78"/>
      <c r="G157" s="78"/>
      <c r="H157" s="99"/>
      <c r="I157" s="108"/>
      <c r="J157" s="108"/>
      <c r="K157" s="108"/>
      <c r="L157" s="108"/>
      <c r="M157" s="78"/>
    </row>
    <row r="158" ht="24.0" customHeight="1">
      <c r="A158" s="78"/>
      <c r="B158" s="78"/>
      <c r="C158" s="78"/>
      <c r="D158" s="78"/>
      <c r="E158" s="78"/>
      <c r="F158" s="78"/>
      <c r="G158" s="78"/>
      <c r="H158" s="99"/>
      <c r="I158" s="108"/>
      <c r="J158" s="108"/>
      <c r="K158" s="108"/>
      <c r="L158" s="108"/>
      <c r="M158" s="78"/>
    </row>
    <row r="159" ht="24.0" customHeight="1">
      <c r="A159" s="78"/>
      <c r="B159" s="78"/>
      <c r="C159" s="78"/>
      <c r="D159" s="78"/>
      <c r="E159" s="78"/>
      <c r="F159" s="78"/>
      <c r="G159" s="78"/>
      <c r="H159" s="99"/>
      <c r="I159" s="108"/>
      <c r="J159" s="108"/>
      <c r="K159" s="108"/>
      <c r="L159" s="108"/>
      <c r="M159" s="78"/>
    </row>
    <row r="160" ht="24.0" customHeight="1">
      <c r="A160" s="78"/>
      <c r="B160" s="78"/>
      <c r="C160" s="78"/>
      <c r="D160" s="78"/>
      <c r="E160" s="78"/>
      <c r="F160" s="78"/>
      <c r="G160" s="78"/>
      <c r="H160" s="99"/>
      <c r="I160" s="108"/>
      <c r="J160" s="108"/>
      <c r="K160" s="108"/>
      <c r="L160" s="108"/>
      <c r="M160" s="78"/>
    </row>
    <row r="161" ht="24.0" customHeight="1">
      <c r="A161" s="78"/>
      <c r="B161" s="78"/>
      <c r="C161" s="78"/>
      <c r="D161" s="78"/>
      <c r="E161" s="78"/>
      <c r="F161" s="78"/>
      <c r="G161" s="78"/>
      <c r="H161" s="99"/>
      <c r="I161" s="108"/>
      <c r="J161" s="108"/>
      <c r="K161" s="108"/>
      <c r="L161" s="108"/>
      <c r="M161" s="78"/>
    </row>
    <row r="162" ht="24.0" customHeight="1">
      <c r="A162" s="78"/>
      <c r="B162" s="78"/>
      <c r="C162" s="78"/>
      <c r="D162" s="78"/>
      <c r="E162" s="78"/>
      <c r="F162" s="78"/>
      <c r="G162" s="78"/>
      <c r="H162" s="99"/>
      <c r="I162" s="108"/>
      <c r="J162" s="108"/>
      <c r="K162" s="108"/>
      <c r="L162" s="108"/>
      <c r="M162" s="78"/>
    </row>
    <row r="163" ht="24.0" customHeight="1">
      <c r="A163" s="78"/>
      <c r="B163" s="78"/>
      <c r="C163" s="78"/>
      <c r="D163" s="78"/>
      <c r="E163" s="78"/>
      <c r="F163" s="78"/>
      <c r="G163" s="78"/>
      <c r="H163" s="99"/>
      <c r="I163" s="108"/>
      <c r="J163" s="108"/>
      <c r="K163" s="108"/>
      <c r="L163" s="108"/>
      <c r="M163" s="78"/>
    </row>
    <row r="164" ht="24.0" customHeight="1">
      <c r="A164" s="78"/>
      <c r="B164" s="78"/>
      <c r="C164" s="78"/>
      <c r="D164" s="78"/>
      <c r="E164" s="78"/>
      <c r="F164" s="78"/>
      <c r="G164" s="78"/>
      <c r="H164" s="99"/>
      <c r="I164" s="108"/>
      <c r="J164" s="108"/>
      <c r="K164" s="108"/>
      <c r="L164" s="108"/>
      <c r="M164" s="78"/>
    </row>
    <row r="165" ht="24.0" customHeight="1">
      <c r="A165" s="78"/>
      <c r="B165" s="78"/>
      <c r="C165" s="78"/>
      <c r="D165" s="78"/>
      <c r="E165" s="78"/>
      <c r="F165" s="78"/>
      <c r="G165" s="78"/>
      <c r="H165" s="99"/>
      <c r="I165" s="108"/>
      <c r="J165" s="108"/>
      <c r="K165" s="108"/>
      <c r="L165" s="108"/>
      <c r="M165" s="78"/>
    </row>
    <row r="166" ht="24.0" customHeight="1">
      <c r="A166" s="78"/>
      <c r="B166" s="78"/>
      <c r="C166" s="78"/>
      <c r="D166" s="78"/>
      <c r="E166" s="78"/>
      <c r="F166" s="78"/>
      <c r="G166" s="78"/>
      <c r="H166" s="99"/>
      <c r="I166" s="108"/>
      <c r="J166" s="108"/>
      <c r="K166" s="108"/>
      <c r="L166" s="108"/>
      <c r="M166" s="78"/>
    </row>
    <row r="167" ht="24.0" customHeight="1">
      <c r="A167" s="78"/>
      <c r="B167" s="78"/>
      <c r="C167" s="78"/>
      <c r="D167" s="78"/>
      <c r="E167" s="78"/>
      <c r="F167" s="78"/>
      <c r="G167" s="78"/>
      <c r="H167" s="99"/>
      <c r="I167" s="108"/>
      <c r="J167" s="108"/>
      <c r="K167" s="108"/>
      <c r="L167" s="108"/>
      <c r="M167" s="78"/>
    </row>
    <row r="168" ht="24.0" customHeight="1">
      <c r="A168" s="78"/>
      <c r="B168" s="78"/>
      <c r="C168" s="78"/>
      <c r="D168" s="78"/>
      <c r="E168" s="78"/>
      <c r="F168" s="78"/>
      <c r="G168" s="78"/>
      <c r="H168" s="99"/>
      <c r="I168" s="108"/>
      <c r="J168" s="108"/>
      <c r="K168" s="108"/>
      <c r="L168" s="108"/>
      <c r="M168" s="78"/>
    </row>
    <row r="169" ht="24.0" customHeight="1">
      <c r="A169" s="78"/>
      <c r="B169" s="78"/>
      <c r="C169" s="78"/>
      <c r="D169" s="78"/>
      <c r="E169" s="78"/>
      <c r="F169" s="78"/>
      <c r="G169" s="78"/>
      <c r="H169" s="99"/>
      <c r="I169" s="108"/>
      <c r="J169" s="108"/>
      <c r="K169" s="108"/>
      <c r="L169" s="108"/>
      <c r="M169" s="78"/>
    </row>
    <row r="170" ht="24.0" customHeight="1">
      <c r="A170" s="78"/>
      <c r="B170" s="78"/>
      <c r="C170" s="78"/>
      <c r="D170" s="78"/>
      <c r="E170" s="78"/>
      <c r="F170" s="78"/>
      <c r="G170" s="78"/>
      <c r="H170" s="99"/>
      <c r="I170" s="108"/>
      <c r="J170" s="108"/>
      <c r="K170" s="108"/>
      <c r="L170" s="108"/>
      <c r="M170" s="78"/>
    </row>
    <row r="171" ht="24.0" customHeight="1">
      <c r="A171" s="78"/>
      <c r="B171" s="78"/>
      <c r="C171" s="78"/>
      <c r="D171" s="78"/>
      <c r="E171" s="78"/>
      <c r="F171" s="78"/>
      <c r="G171" s="78"/>
      <c r="H171" s="99"/>
      <c r="I171" s="108"/>
      <c r="J171" s="108"/>
      <c r="K171" s="108"/>
      <c r="L171" s="108"/>
      <c r="M171" s="78"/>
    </row>
    <row r="172" ht="24.0" customHeight="1">
      <c r="A172" s="78"/>
      <c r="B172" s="78"/>
      <c r="C172" s="78"/>
      <c r="D172" s="78"/>
      <c r="E172" s="78"/>
      <c r="F172" s="78"/>
      <c r="G172" s="78"/>
      <c r="H172" s="99"/>
      <c r="I172" s="108"/>
      <c r="J172" s="108"/>
      <c r="K172" s="108"/>
      <c r="L172" s="108"/>
      <c r="M172" s="78"/>
    </row>
    <row r="173" ht="24.0" customHeight="1">
      <c r="A173" s="78"/>
      <c r="B173" s="78"/>
      <c r="C173" s="78"/>
      <c r="D173" s="78"/>
      <c r="E173" s="78"/>
      <c r="F173" s="78"/>
      <c r="G173" s="78"/>
      <c r="H173" s="99"/>
      <c r="I173" s="108"/>
      <c r="J173" s="108"/>
      <c r="K173" s="108"/>
      <c r="L173" s="108"/>
      <c r="M173" s="78"/>
    </row>
    <row r="174" ht="24.0" customHeight="1">
      <c r="A174" s="78"/>
      <c r="B174" s="78"/>
      <c r="C174" s="78"/>
      <c r="D174" s="78"/>
      <c r="E174" s="78"/>
      <c r="F174" s="78"/>
      <c r="G174" s="78"/>
      <c r="H174" s="99"/>
      <c r="I174" s="108"/>
      <c r="J174" s="108"/>
      <c r="K174" s="108"/>
      <c r="L174" s="108"/>
      <c r="M174" s="78"/>
    </row>
    <row r="175" ht="24.0" customHeight="1">
      <c r="A175" s="78"/>
      <c r="B175" s="78"/>
      <c r="C175" s="78"/>
      <c r="D175" s="78"/>
      <c r="E175" s="78"/>
      <c r="F175" s="78"/>
      <c r="G175" s="78"/>
      <c r="H175" s="99"/>
      <c r="I175" s="108"/>
      <c r="J175" s="108"/>
      <c r="K175" s="108"/>
      <c r="L175" s="108"/>
      <c r="M175" s="78"/>
    </row>
    <row r="176" ht="24.0" customHeight="1">
      <c r="A176" s="78"/>
      <c r="B176" s="78"/>
      <c r="C176" s="78"/>
      <c r="D176" s="78"/>
      <c r="E176" s="78"/>
      <c r="F176" s="78"/>
      <c r="G176" s="78"/>
      <c r="H176" s="99"/>
      <c r="I176" s="108"/>
      <c r="J176" s="108"/>
      <c r="K176" s="108"/>
      <c r="L176" s="108"/>
      <c r="M176" s="78"/>
    </row>
    <row r="177" ht="24.0" customHeight="1">
      <c r="A177" s="78"/>
      <c r="B177" s="78"/>
      <c r="C177" s="78"/>
      <c r="D177" s="78"/>
      <c r="E177" s="78"/>
      <c r="F177" s="78"/>
      <c r="G177" s="78"/>
      <c r="H177" s="99"/>
      <c r="I177" s="108"/>
      <c r="J177" s="108"/>
      <c r="K177" s="108"/>
      <c r="L177" s="108"/>
      <c r="M177" s="78"/>
    </row>
    <row r="178" ht="24.0" customHeight="1">
      <c r="A178" s="78"/>
      <c r="B178" s="78"/>
      <c r="C178" s="78"/>
      <c r="D178" s="78"/>
      <c r="E178" s="78"/>
      <c r="F178" s="78"/>
      <c r="G178" s="78"/>
      <c r="H178" s="99"/>
      <c r="I178" s="108"/>
      <c r="J178" s="108"/>
      <c r="K178" s="108"/>
      <c r="L178" s="108"/>
      <c r="M178" s="78"/>
    </row>
    <row r="179" ht="24.0" customHeight="1">
      <c r="A179" s="78"/>
      <c r="B179" s="78"/>
      <c r="C179" s="78"/>
      <c r="D179" s="78"/>
      <c r="E179" s="78"/>
      <c r="F179" s="78"/>
      <c r="G179" s="78"/>
      <c r="H179" s="99"/>
      <c r="I179" s="108"/>
      <c r="J179" s="108"/>
      <c r="K179" s="108"/>
      <c r="L179" s="108"/>
      <c r="M179" s="78"/>
    </row>
    <row r="180" ht="24.0" customHeight="1">
      <c r="A180" s="78"/>
      <c r="B180" s="78"/>
      <c r="C180" s="78"/>
      <c r="D180" s="78"/>
      <c r="E180" s="78"/>
      <c r="F180" s="78"/>
      <c r="G180" s="78"/>
      <c r="H180" s="99"/>
      <c r="I180" s="108"/>
      <c r="J180" s="108"/>
      <c r="K180" s="108"/>
      <c r="L180" s="108"/>
      <c r="M180" s="78"/>
    </row>
    <row r="181" ht="24.0" customHeight="1">
      <c r="A181" s="78"/>
      <c r="B181" s="78"/>
      <c r="C181" s="78"/>
      <c r="D181" s="78"/>
      <c r="E181" s="78"/>
      <c r="F181" s="78"/>
      <c r="G181" s="78"/>
      <c r="H181" s="99"/>
      <c r="I181" s="108"/>
      <c r="J181" s="108"/>
      <c r="K181" s="108"/>
      <c r="L181" s="108"/>
      <c r="M181" s="78"/>
    </row>
    <row r="182" ht="24.0" customHeight="1">
      <c r="A182" s="78"/>
      <c r="B182" s="78"/>
      <c r="C182" s="78"/>
      <c r="D182" s="78"/>
      <c r="E182" s="78"/>
      <c r="F182" s="78"/>
      <c r="G182" s="78"/>
      <c r="H182" s="99"/>
      <c r="I182" s="108"/>
      <c r="J182" s="108"/>
      <c r="K182" s="108"/>
      <c r="L182" s="108"/>
      <c r="M182" s="78"/>
    </row>
    <row r="183" ht="24.0" customHeight="1">
      <c r="A183" s="78"/>
      <c r="B183" s="78"/>
      <c r="C183" s="78"/>
      <c r="D183" s="78"/>
      <c r="E183" s="78"/>
      <c r="F183" s="78"/>
      <c r="G183" s="78"/>
      <c r="H183" s="99"/>
      <c r="I183" s="108"/>
      <c r="J183" s="108"/>
      <c r="K183" s="108"/>
      <c r="L183" s="108"/>
      <c r="M183" s="78"/>
    </row>
    <row r="184" ht="24.0" customHeight="1">
      <c r="A184" s="78"/>
      <c r="B184" s="78"/>
      <c r="C184" s="78"/>
      <c r="D184" s="78"/>
      <c r="E184" s="78"/>
      <c r="F184" s="78"/>
      <c r="G184" s="78"/>
      <c r="H184" s="99"/>
      <c r="I184" s="108"/>
      <c r="J184" s="108"/>
      <c r="K184" s="108"/>
      <c r="L184" s="108"/>
      <c r="M184" s="78"/>
    </row>
    <row r="185" ht="24.0" customHeight="1">
      <c r="A185" s="78"/>
      <c r="B185" s="78"/>
      <c r="C185" s="78"/>
      <c r="D185" s="78"/>
      <c r="E185" s="78"/>
      <c r="F185" s="78"/>
      <c r="G185" s="78"/>
      <c r="H185" s="99"/>
      <c r="I185" s="108"/>
      <c r="J185" s="108"/>
      <c r="K185" s="108"/>
      <c r="L185" s="108"/>
      <c r="M185" s="78"/>
    </row>
    <row r="186" ht="24.0" customHeight="1">
      <c r="A186" s="78"/>
      <c r="B186" s="78"/>
      <c r="C186" s="78"/>
      <c r="D186" s="78"/>
      <c r="E186" s="78"/>
      <c r="F186" s="78"/>
      <c r="G186" s="78"/>
      <c r="H186" s="99"/>
      <c r="I186" s="108"/>
      <c r="J186" s="108"/>
      <c r="K186" s="108"/>
      <c r="L186" s="108"/>
      <c r="M186" s="78"/>
    </row>
    <row r="187" ht="24.0" customHeight="1">
      <c r="A187" s="78"/>
      <c r="B187" s="78"/>
      <c r="C187" s="78"/>
      <c r="D187" s="78"/>
      <c r="E187" s="78"/>
      <c r="F187" s="78"/>
      <c r="G187" s="78"/>
      <c r="H187" s="99"/>
      <c r="I187" s="108"/>
      <c r="J187" s="108"/>
      <c r="K187" s="108"/>
      <c r="L187" s="108"/>
      <c r="M187" s="78"/>
    </row>
    <row r="188" ht="24.0" customHeight="1">
      <c r="A188" s="78"/>
      <c r="B188" s="78"/>
      <c r="C188" s="78"/>
      <c r="D188" s="78"/>
      <c r="E188" s="78"/>
      <c r="F188" s="78"/>
      <c r="G188" s="78"/>
      <c r="H188" s="99"/>
      <c r="I188" s="108"/>
      <c r="J188" s="108"/>
      <c r="K188" s="108"/>
      <c r="L188" s="108"/>
      <c r="M188" s="78"/>
    </row>
    <row r="189" ht="24.0" customHeight="1">
      <c r="A189" s="78"/>
      <c r="B189" s="78"/>
      <c r="C189" s="78"/>
      <c r="D189" s="78"/>
      <c r="E189" s="78"/>
      <c r="F189" s="78"/>
      <c r="G189" s="78"/>
      <c r="H189" s="99"/>
      <c r="I189" s="108"/>
      <c r="J189" s="108"/>
      <c r="K189" s="108"/>
      <c r="L189" s="108"/>
      <c r="M189" s="78"/>
    </row>
    <row r="190" ht="24.0" customHeight="1">
      <c r="A190" s="78"/>
      <c r="B190" s="78"/>
      <c r="C190" s="78"/>
      <c r="D190" s="78"/>
      <c r="E190" s="78"/>
      <c r="F190" s="78"/>
      <c r="G190" s="78"/>
      <c r="H190" s="99"/>
      <c r="I190" s="108"/>
      <c r="J190" s="108"/>
      <c r="K190" s="108"/>
      <c r="L190" s="108"/>
      <c r="M190" s="78"/>
    </row>
    <row r="191" ht="24.0" customHeight="1">
      <c r="A191" s="78"/>
      <c r="B191" s="78"/>
      <c r="C191" s="78"/>
      <c r="D191" s="78"/>
      <c r="E191" s="78"/>
      <c r="F191" s="78"/>
      <c r="G191" s="78"/>
      <c r="H191" s="99"/>
      <c r="I191" s="108"/>
      <c r="J191" s="108"/>
      <c r="K191" s="108"/>
      <c r="L191" s="108"/>
      <c r="M191" s="78"/>
    </row>
    <row r="192" ht="24.0" customHeight="1">
      <c r="A192" s="78"/>
      <c r="B192" s="78"/>
      <c r="C192" s="78"/>
      <c r="D192" s="78"/>
      <c r="E192" s="78"/>
      <c r="F192" s="78"/>
      <c r="G192" s="78"/>
      <c r="H192" s="99"/>
      <c r="I192" s="108"/>
      <c r="J192" s="108"/>
      <c r="K192" s="108"/>
      <c r="L192" s="108"/>
      <c r="M192" s="78"/>
    </row>
    <row r="193" ht="24.0" customHeight="1">
      <c r="A193" s="78"/>
      <c r="B193" s="78"/>
      <c r="C193" s="78"/>
      <c r="D193" s="78"/>
      <c r="E193" s="78"/>
      <c r="F193" s="78"/>
      <c r="G193" s="78"/>
      <c r="H193" s="99"/>
      <c r="I193" s="108"/>
      <c r="J193" s="108"/>
      <c r="K193" s="108"/>
      <c r="L193" s="108"/>
      <c r="M193" s="78"/>
    </row>
    <row r="194" ht="24.0" customHeight="1">
      <c r="A194" s="78"/>
      <c r="B194" s="78"/>
      <c r="C194" s="78"/>
      <c r="D194" s="78"/>
      <c r="E194" s="78"/>
      <c r="F194" s="78"/>
      <c r="G194" s="78"/>
      <c r="H194" s="99"/>
      <c r="I194" s="108"/>
      <c r="J194" s="108"/>
      <c r="K194" s="108"/>
      <c r="L194" s="108"/>
      <c r="M194" s="78"/>
    </row>
    <row r="195" ht="24.0" customHeight="1">
      <c r="A195" s="78"/>
      <c r="B195" s="78"/>
      <c r="C195" s="78"/>
      <c r="D195" s="78"/>
      <c r="E195" s="78"/>
      <c r="F195" s="78"/>
      <c r="G195" s="78"/>
      <c r="H195" s="99"/>
      <c r="I195" s="108"/>
      <c r="J195" s="108"/>
      <c r="K195" s="108"/>
      <c r="L195" s="108"/>
      <c r="M195" s="78"/>
    </row>
    <row r="196" ht="24.0" customHeight="1">
      <c r="A196" s="78"/>
      <c r="B196" s="78"/>
      <c r="C196" s="78"/>
      <c r="D196" s="78"/>
      <c r="E196" s="78"/>
      <c r="F196" s="78"/>
      <c r="G196" s="78"/>
      <c r="H196" s="99"/>
      <c r="I196" s="108"/>
      <c r="J196" s="108"/>
      <c r="K196" s="108"/>
      <c r="L196" s="108"/>
      <c r="M196" s="78"/>
    </row>
    <row r="197" ht="24.0" customHeight="1">
      <c r="A197" s="78"/>
      <c r="B197" s="78"/>
      <c r="C197" s="78"/>
      <c r="D197" s="78"/>
      <c r="E197" s="78"/>
      <c r="F197" s="78"/>
      <c r="G197" s="78"/>
      <c r="H197" s="99"/>
      <c r="I197" s="108"/>
      <c r="J197" s="108"/>
      <c r="K197" s="108"/>
      <c r="L197" s="108"/>
      <c r="M197" s="78"/>
    </row>
    <row r="198" ht="24.0" customHeight="1">
      <c r="A198" s="78"/>
      <c r="B198" s="78"/>
      <c r="C198" s="78"/>
      <c r="D198" s="78"/>
      <c r="E198" s="78"/>
      <c r="F198" s="78"/>
      <c r="G198" s="78"/>
      <c r="H198" s="99"/>
      <c r="I198" s="108"/>
      <c r="J198" s="108"/>
      <c r="K198" s="108"/>
      <c r="L198" s="108"/>
      <c r="M198" s="78"/>
    </row>
    <row r="199" ht="24.0" customHeight="1">
      <c r="A199" s="78"/>
      <c r="B199" s="78"/>
      <c r="C199" s="78"/>
      <c r="D199" s="78"/>
      <c r="E199" s="78"/>
      <c r="F199" s="78"/>
      <c r="G199" s="78"/>
      <c r="H199" s="99"/>
      <c r="I199" s="108"/>
      <c r="J199" s="108"/>
      <c r="K199" s="108"/>
      <c r="L199" s="108"/>
      <c r="M199" s="78"/>
    </row>
    <row r="200" ht="24.0" customHeight="1">
      <c r="A200" s="78"/>
      <c r="B200" s="78"/>
      <c r="C200" s="78"/>
      <c r="D200" s="78"/>
      <c r="E200" s="78"/>
      <c r="F200" s="78"/>
      <c r="G200" s="78"/>
      <c r="H200" s="99"/>
      <c r="I200" s="108"/>
      <c r="J200" s="108"/>
      <c r="K200" s="108"/>
      <c r="L200" s="108"/>
      <c r="M200" s="78"/>
    </row>
    <row r="201" ht="24.0" customHeight="1">
      <c r="A201" s="78"/>
      <c r="B201" s="78"/>
      <c r="C201" s="78"/>
      <c r="D201" s="78"/>
      <c r="E201" s="78"/>
      <c r="F201" s="78"/>
      <c r="G201" s="78"/>
      <c r="H201" s="99"/>
      <c r="I201" s="108"/>
      <c r="J201" s="108"/>
      <c r="K201" s="108"/>
      <c r="L201" s="108"/>
      <c r="M201" s="78"/>
    </row>
    <row r="202" ht="24.0" customHeight="1">
      <c r="A202" s="78"/>
      <c r="B202" s="78"/>
      <c r="C202" s="78"/>
      <c r="D202" s="78"/>
      <c r="E202" s="78"/>
      <c r="F202" s="78"/>
      <c r="G202" s="78"/>
      <c r="H202" s="99"/>
      <c r="I202" s="108"/>
      <c r="J202" s="108"/>
      <c r="K202" s="108"/>
      <c r="L202" s="108"/>
      <c r="M202" s="78"/>
    </row>
    <row r="203" ht="24.0" customHeight="1">
      <c r="A203" s="78"/>
      <c r="B203" s="78"/>
      <c r="C203" s="78"/>
      <c r="D203" s="78"/>
      <c r="E203" s="78"/>
      <c r="F203" s="78"/>
      <c r="G203" s="78"/>
      <c r="H203" s="99"/>
      <c r="I203" s="108"/>
      <c r="J203" s="108"/>
      <c r="K203" s="108"/>
      <c r="L203" s="108"/>
      <c r="M203" s="78"/>
    </row>
    <row r="204" ht="24.0" customHeight="1">
      <c r="A204" s="78"/>
      <c r="B204" s="78"/>
      <c r="C204" s="78"/>
      <c r="D204" s="78"/>
      <c r="E204" s="78"/>
      <c r="F204" s="78"/>
      <c r="G204" s="78"/>
      <c r="H204" s="99"/>
      <c r="I204" s="108"/>
      <c r="J204" s="108"/>
      <c r="K204" s="108"/>
      <c r="L204" s="108"/>
      <c r="M204" s="78"/>
    </row>
    <row r="205" ht="24.0" customHeight="1">
      <c r="A205" s="78"/>
      <c r="B205" s="78"/>
      <c r="C205" s="78"/>
      <c r="D205" s="78"/>
      <c r="E205" s="78"/>
      <c r="F205" s="78"/>
      <c r="G205" s="78"/>
      <c r="H205" s="99"/>
      <c r="I205" s="108"/>
      <c r="J205" s="108"/>
      <c r="K205" s="108"/>
      <c r="L205" s="108"/>
      <c r="M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B3"/>
  </mergeCells>
  <conditionalFormatting sqref="H6:H205">
    <cfRule type="containsText" dxfId="5" priority="1" operator="containsText" text="Submitted">
      <formula>NOT(ISERROR(SEARCH(("Submitted"),(H6))))</formula>
    </cfRule>
  </conditionalFormatting>
  <conditionalFormatting sqref="H6:H205">
    <cfRule type="containsText" dxfId="6" priority="2" operator="containsText" text="Ready">
      <formula>NOT(ISERROR(SEARCH(("Ready"),(H6))))</formula>
    </cfRule>
  </conditionalFormatting>
  <conditionalFormatting sqref="H6:H205">
    <cfRule type="containsText" dxfId="6" priority="3" operator="containsText" text="Admitted">
      <formula>NOT(ISERROR(SEARCH(("Admitted"),(H6))))</formula>
    </cfRule>
  </conditionalFormatting>
  <conditionalFormatting sqref="H6:H205">
    <cfRule type="containsText" dxfId="6" priority="4" operator="containsText" text="Awarded">
      <formula>NOT(ISERROR(SEARCH(("Awarded"),(H6))))</formula>
    </cfRule>
  </conditionalFormatting>
  <conditionalFormatting sqref="H6:H205">
    <cfRule type="containsText" dxfId="6" priority="5" operator="containsText" text="Completed">
      <formula>NOT(ISERROR(SEARCH(("Completed"),(H6))))</formula>
    </cfRule>
  </conditionalFormatting>
  <conditionalFormatting sqref="H6:H205">
    <cfRule type="containsText" dxfId="6" priority="6" operator="containsText" text="Done">
      <formula>NOT(ISERROR(SEARCH(("Done"),(H6))))</formula>
    </cfRule>
  </conditionalFormatting>
  <conditionalFormatting sqref="H6:H205">
    <cfRule type="containsText" dxfId="6" priority="7" operator="containsText" text="Final">
      <formula>NOT(ISERROR(SEARCH(("Final"),(H6))))</formula>
    </cfRule>
  </conditionalFormatting>
  <conditionalFormatting sqref="H6:H205">
    <cfRule type="containsText" dxfId="7" priority="8" operator="containsText" text="Preparing">
      <formula>NOT(ISERROR(SEARCH(("Preparing"),(H6))))</formula>
    </cfRule>
  </conditionalFormatting>
  <conditionalFormatting sqref="H6:H205">
    <cfRule type="containsText" dxfId="7" priority="9" operator="containsText" text="In Progress">
      <formula>NOT(ISERROR(SEARCH(("In Progress"),(H6))))</formula>
    </cfRule>
  </conditionalFormatting>
  <conditionalFormatting sqref="H6:H205">
    <cfRule type="containsText" dxfId="7" priority="10" operator="containsText" text="Shortlisted">
      <formula>NOT(ISERROR(SEARCH(("Shortlisted"),(H6))))</formula>
    </cfRule>
  </conditionalFormatting>
  <conditionalFormatting sqref="H6:H205">
    <cfRule type="containsText" dxfId="8" priority="11" operator="containsText" text="Researching">
      <formula>NOT(ISERROR(SEARCH(("Researching"),(H6))))</formula>
    </cfRule>
  </conditionalFormatting>
  <conditionalFormatting sqref="H6:H205">
    <cfRule type="containsText" dxfId="8" priority="12" operator="containsText" text="Exploring">
      <formula>NOT(ISERROR(SEARCH(("Exploring"),(H6))))</formula>
    </cfRule>
  </conditionalFormatting>
  <conditionalFormatting sqref="H6:H205">
    <cfRule type="containsText" dxfId="9" priority="13" operator="containsText" text="Needs Verification">
      <formula>NOT(ISERROR(SEARCH(("Needs Verification"),(H6))))</formula>
    </cfRule>
  </conditionalFormatting>
  <conditionalFormatting sqref="H6:H205">
    <cfRule type="containsText" dxfId="10" priority="14" operator="containsText" text="Overdue">
      <formula>NOT(ISERROR(SEARCH(("Overdue"),(H6))))</formula>
    </cfRule>
  </conditionalFormatting>
  <conditionalFormatting sqref="H6:H205">
    <cfRule type="containsText" dxfId="10" priority="15" operator="containsText" text="Rejected">
      <formula>NOT(ISERROR(SEARCH(("Rejected"),(H6))))</formula>
    </cfRule>
  </conditionalFormatting>
  <conditionalFormatting sqref="H6:H205">
    <cfRule type="containsText" dxfId="10" priority="16" operator="containsText" text="Blocked">
      <formula>NOT(ISERROR(SEARCH(("Blocked"),(H6))))</formula>
    </cfRule>
  </conditionalFormatting>
  <conditionalFormatting sqref="J6:J205">
    <cfRule type="expression" dxfId="10" priority="17">
      <formula>AND(J6&lt;&gt;"",J6&lt;TODAY())</formula>
    </cfRule>
  </conditionalFormatting>
  <conditionalFormatting sqref="J6:J205">
    <cfRule type="expression" dxfId="9" priority="18">
      <formula>AND(J6&gt;=TODAY(),J6&lt;=TODAY()+7)</formula>
    </cfRule>
  </conditionalFormatting>
  <conditionalFormatting sqref="L6:L205">
    <cfRule type="expression" dxfId="10" priority="19">
      <formula>AND(L6&lt;&gt;"",L6&lt;TODAY())</formula>
    </cfRule>
  </conditionalFormatting>
  <conditionalFormatting sqref="L6:L205">
    <cfRule type="expression" dxfId="9" priority="20">
      <formula>AND(L6&gt;=TODAY(),L6&lt;=TODAY()+7)</formula>
    </cfRule>
  </conditionalFormatting>
  <dataValidations>
    <dataValidation type="custom" allowBlank="1" showDropDown="1" sqref="I6:L205">
      <formula1>OR(NOT(ISERROR(DATEVALUE(I6))), AND(ISNUMBER(I6), LEFT(CELL("format", I6))="D"))</formula1>
    </dataValidation>
    <dataValidation type="list" allowBlank="1" sqref="H6:H205">
      <formula1>"Planned,Requested,Accepted,Submitted,Declined,Overdue"</formula1>
    </dataValidation>
    <dataValidation allowBlank="1" showDropDown="1" sqref="A6:G205 M6:M20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18.0"/>
    <col customWidth="1" min="4" max="4" width="26.0"/>
    <col customWidth="1" min="5" max="5" width="28.0"/>
    <col customWidth="1" min="6" max="7" width="30.0"/>
    <col customWidth="1" min="8" max="8" width="16.13"/>
    <col customWidth="1" min="9" max="9" width="15.0"/>
    <col customWidth="1" min="10" max="10" width="44.0"/>
    <col customWidth="1" min="11" max="26" width="8.63"/>
  </cols>
  <sheetData>
    <row r="1" ht="33.75" customHeight="1">
      <c r="A1" s="1" t="s">
        <v>365</v>
      </c>
    </row>
    <row r="2" ht="27.75" customHeight="1">
      <c r="A2" s="2" t="s">
        <v>366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 ht="31.5" customHeight="1">
      <c r="A5" s="28" t="s">
        <v>367</v>
      </c>
      <c r="B5" s="28" t="s">
        <v>351</v>
      </c>
      <c r="C5" s="28" t="s">
        <v>240</v>
      </c>
      <c r="D5" s="28" t="s">
        <v>56</v>
      </c>
      <c r="E5" s="28" t="s">
        <v>60</v>
      </c>
      <c r="F5" s="28" t="s">
        <v>353</v>
      </c>
      <c r="G5" s="28" t="s">
        <v>368</v>
      </c>
      <c r="H5" s="28" t="s">
        <v>369</v>
      </c>
      <c r="I5" s="28" t="s">
        <v>370</v>
      </c>
      <c r="J5" s="28" t="s">
        <v>85</v>
      </c>
      <c r="K5" s="30" t="s">
        <v>368</v>
      </c>
      <c r="L5" s="30" t="s">
        <v>369</v>
      </c>
      <c r="M5" s="30" t="s">
        <v>370</v>
      </c>
      <c r="N5" s="30" t="s">
        <v>85</v>
      </c>
    </row>
    <row r="6" ht="24.0" customHeight="1">
      <c r="A6" s="80" t="s">
        <v>371</v>
      </c>
      <c r="B6" s="82" t="s">
        <v>372</v>
      </c>
      <c r="C6" s="86" t="s">
        <v>373</v>
      </c>
      <c r="D6" s="82" t="s">
        <v>374</v>
      </c>
      <c r="E6" s="82" t="s">
        <v>375</v>
      </c>
      <c r="F6" s="82" t="s">
        <v>361</v>
      </c>
      <c r="G6" s="62"/>
      <c r="H6" s="106"/>
      <c r="I6" s="106">
        <v>46270.0</v>
      </c>
      <c r="J6" s="93" t="s">
        <v>376</v>
      </c>
    </row>
    <row r="7" ht="24.0" customHeight="1">
      <c r="A7" s="78"/>
      <c r="B7" s="78"/>
      <c r="C7" s="99"/>
      <c r="D7" s="78"/>
      <c r="E7" s="78"/>
      <c r="F7" s="78"/>
      <c r="G7" s="78"/>
      <c r="H7" s="108"/>
      <c r="I7" s="108"/>
      <c r="J7" s="78"/>
    </row>
    <row r="8" ht="24.0" customHeight="1">
      <c r="A8" s="78"/>
      <c r="B8" s="78"/>
      <c r="C8" s="99"/>
      <c r="D8" s="78"/>
      <c r="E8" s="78"/>
      <c r="F8" s="78"/>
      <c r="G8" s="78"/>
      <c r="H8" s="108"/>
      <c r="I8" s="108"/>
      <c r="J8" s="78"/>
    </row>
    <row r="9" ht="24.0" customHeight="1">
      <c r="A9" s="78"/>
      <c r="B9" s="78"/>
      <c r="C9" s="99"/>
      <c r="D9" s="78"/>
      <c r="E9" s="78"/>
      <c r="F9" s="78"/>
      <c r="G9" s="78"/>
      <c r="H9" s="108"/>
      <c r="I9" s="108"/>
      <c r="J9" s="78"/>
    </row>
    <row r="10" ht="24.0" customHeight="1">
      <c r="A10" s="78"/>
      <c r="B10" s="78"/>
      <c r="C10" s="99"/>
      <c r="D10" s="78"/>
      <c r="E10" s="78"/>
      <c r="F10" s="78"/>
      <c r="G10" s="78"/>
      <c r="H10" s="108"/>
      <c r="I10" s="108"/>
      <c r="J10" s="78"/>
    </row>
    <row r="11" ht="24.0" customHeight="1">
      <c r="A11" s="78"/>
      <c r="B11" s="78"/>
      <c r="C11" s="99"/>
      <c r="D11" s="78"/>
      <c r="E11" s="78"/>
      <c r="F11" s="78"/>
      <c r="G11" s="78"/>
      <c r="H11" s="108"/>
      <c r="I11" s="108"/>
      <c r="J11" s="78"/>
    </row>
    <row r="12" ht="24.0" customHeight="1">
      <c r="A12" s="78"/>
      <c r="B12" s="78"/>
      <c r="C12" s="99"/>
      <c r="D12" s="78"/>
      <c r="E12" s="78"/>
      <c r="F12" s="78"/>
      <c r="G12" s="78"/>
      <c r="H12" s="108"/>
      <c r="I12" s="108"/>
      <c r="J12" s="78"/>
    </row>
    <row r="13" ht="24.0" customHeight="1">
      <c r="A13" s="78"/>
      <c r="B13" s="78"/>
      <c r="C13" s="99"/>
      <c r="D13" s="78"/>
      <c r="E13" s="78"/>
      <c r="F13" s="78"/>
      <c r="G13" s="78"/>
      <c r="H13" s="108"/>
      <c r="I13" s="108"/>
      <c r="J13" s="78"/>
    </row>
    <row r="14" ht="24.0" customHeight="1">
      <c r="A14" s="78"/>
      <c r="B14" s="78"/>
      <c r="C14" s="99"/>
      <c r="D14" s="78"/>
      <c r="E14" s="78"/>
      <c r="F14" s="78"/>
      <c r="G14" s="78"/>
      <c r="H14" s="108"/>
      <c r="I14" s="108"/>
      <c r="J14" s="78"/>
    </row>
    <row r="15" ht="24.0" customHeight="1">
      <c r="A15" s="78"/>
      <c r="B15" s="78"/>
      <c r="C15" s="99"/>
      <c r="D15" s="78"/>
      <c r="E15" s="78"/>
      <c r="F15" s="78"/>
      <c r="G15" s="78"/>
      <c r="H15" s="108"/>
      <c r="I15" s="108"/>
      <c r="J15" s="78"/>
    </row>
    <row r="16" ht="24.0" customHeight="1">
      <c r="A16" s="78"/>
      <c r="B16" s="78"/>
      <c r="C16" s="99"/>
      <c r="D16" s="78"/>
      <c r="E16" s="78"/>
      <c r="F16" s="78"/>
      <c r="G16" s="78"/>
      <c r="H16" s="108"/>
      <c r="I16" s="108"/>
      <c r="J16" s="78"/>
    </row>
    <row r="17" ht="24.0" customHeight="1">
      <c r="A17" s="78"/>
      <c r="B17" s="78"/>
      <c r="C17" s="99"/>
      <c r="D17" s="78"/>
      <c r="E17" s="78"/>
      <c r="F17" s="78"/>
      <c r="G17" s="78"/>
      <c r="H17" s="108"/>
      <c r="I17" s="108"/>
      <c r="J17" s="78"/>
    </row>
    <row r="18" ht="24.0" customHeight="1">
      <c r="A18" s="78"/>
      <c r="B18" s="78"/>
      <c r="C18" s="99"/>
      <c r="D18" s="78"/>
      <c r="E18" s="78"/>
      <c r="F18" s="78"/>
      <c r="G18" s="78"/>
      <c r="H18" s="108"/>
      <c r="I18" s="108"/>
      <c r="J18" s="78"/>
    </row>
    <row r="19" ht="24.0" customHeight="1">
      <c r="A19" s="78"/>
      <c r="B19" s="78"/>
      <c r="C19" s="99"/>
      <c r="D19" s="78"/>
      <c r="E19" s="78"/>
      <c r="F19" s="78"/>
      <c r="G19" s="78"/>
      <c r="H19" s="108"/>
      <c r="I19" s="108"/>
      <c r="J19" s="78"/>
    </row>
    <row r="20" ht="24.0" customHeight="1">
      <c r="A20" s="78"/>
      <c r="B20" s="78"/>
      <c r="C20" s="99"/>
      <c r="D20" s="78"/>
      <c r="E20" s="78"/>
      <c r="F20" s="78"/>
      <c r="G20" s="78"/>
      <c r="H20" s="108"/>
      <c r="I20" s="108"/>
      <c r="J20" s="78"/>
    </row>
    <row r="21" ht="24.0" customHeight="1">
      <c r="A21" s="78"/>
      <c r="B21" s="78"/>
      <c r="C21" s="99"/>
      <c r="D21" s="78"/>
      <c r="E21" s="78"/>
      <c r="F21" s="78"/>
      <c r="G21" s="78"/>
      <c r="H21" s="108"/>
      <c r="I21" s="108"/>
      <c r="J21" s="78"/>
    </row>
    <row r="22" ht="24.0" customHeight="1">
      <c r="A22" s="78"/>
      <c r="B22" s="78"/>
      <c r="C22" s="99"/>
      <c r="D22" s="78"/>
      <c r="E22" s="78"/>
      <c r="F22" s="78"/>
      <c r="G22" s="78"/>
      <c r="H22" s="108"/>
      <c r="I22" s="108"/>
      <c r="J22" s="78"/>
    </row>
    <row r="23" ht="24.0" customHeight="1">
      <c r="A23" s="78"/>
      <c r="B23" s="78"/>
      <c r="C23" s="99"/>
      <c r="D23" s="78"/>
      <c r="E23" s="78"/>
      <c r="F23" s="78"/>
      <c r="G23" s="78"/>
      <c r="H23" s="108"/>
      <c r="I23" s="108"/>
      <c r="J23" s="78"/>
    </row>
    <row r="24" ht="24.0" customHeight="1">
      <c r="A24" s="78"/>
      <c r="B24" s="78"/>
      <c r="C24" s="99"/>
      <c r="D24" s="78"/>
      <c r="E24" s="78"/>
      <c r="F24" s="78"/>
      <c r="G24" s="78"/>
      <c r="H24" s="108"/>
      <c r="I24" s="108"/>
      <c r="J24" s="78"/>
    </row>
    <row r="25" ht="24.0" customHeight="1">
      <c r="A25" s="78"/>
      <c r="B25" s="78"/>
      <c r="C25" s="99"/>
      <c r="D25" s="78"/>
      <c r="E25" s="78"/>
      <c r="F25" s="78"/>
      <c r="G25" s="78"/>
      <c r="H25" s="108"/>
      <c r="I25" s="108"/>
      <c r="J25" s="78"/>
    </row>
    <row r="26" ht="24.0" customHeight="1">
      <c r="A26" s="78"/>
      <c r="B26" s="78"/>
      <c r="C26" s="99"/>
      <c r="D26" s="78"/>
      <c r="E26" s="78"/>
      <c r="F26" s="78"/>
      <c r="G26" s="78"/>
      <c r="H26" s="108"/>
      <c r="I26" s="108"/>
      <c r="J26" s="78"/>
    </row>
    <row r="27" ht="24.0" customHeight="1">
      <c r="A27" s="78"/>
      <c r="B27" s="78"/>
      <c r="C27" s="99"/>
      <c r="D27" s="78"/>
      <c r="E27" s="78"/>
      <c r="F27" s="78"/>
      <c r="G27" s="78"/>
      <c r="H27" s="108"/>
      <c r="I27" s="108"/>
      <c r="J27" s="78"/>
    </row>
    <row r="28" ht="24.0" customHeight="1">
      <c r="A28" s="78"/>
      <c r="B28" s="78"/>
      <c r="C28" s="99"/>
      <c r="D28" s="78"/>
      <c r="E28" s="78"/>
      <c r="F28" s="78"/>
      <c r="G28" s="78"/>
      <c r="H28" s="108"/>
      <c r="I28" s="108"/>
      <c r="J28" s="78"/>
    </row>
    <row r="29" ht="24.0" customHeight="1">
      <c r="A29" s="78"/>
      <c r="B29" s="78"/>
      <c r="C29" s="99"/>
      <c r="D29" s="78"/>
      <c r="E29" s="78"/>
      <c r="F29" s="78"/>
      <c r="G29" s="78"/>
      <c r="H29" s="108"/>
      <c r="I29" s="108"/>
      <c r="J29" s="78"/>
    </row>
    <row r="30" ht="24.0" customHeight="1">
      <c r="A30" s="78"/>
      <c r="B30" s="78"/>
      <c r="C30" s="99"/>
      <c r="D30" s="78"/>
      <c r="E30" s="78"/>
      <c r="F30" s="78"/>
      <c r="G30" s="78"/>
      <c r="H30" s="108"/>
      <c r="I30" s="108"/>
      <c r="J30" s="78"/>
    </row>
    <row r="31" ht="24.0" customHeight="1">
      <c r="A31" s="78"/>
      <c r="B31" s="78"/>
      <c r="C31" s="99"/>
      <c r="D31" s="78"/>
      <c r="E31" s="78"/>
      <c r="F31" s="78"/>
      <c r="G31" s="78"/>
      <c r="H31" s="108"/>
      <c r="I31" s="108"/>
      <c r="J31" s="78"/>
    </row>
    <row r="32" ht="24.0" customHeight="1">
      <c r="A32" s="78"/>
      <c r="B32" s="78"/>
      <c r="C32" s="99"/>
      <c r="D32" s="78"/>
      <c r="E32" s="78"/>
      <c r="F32" s="78"/>
      <c r="G32" s="78"/>
      <c r="H32" s="108"/>
      <c r="I32" s="108"/>
      <c r="J32" s="78"/>
    </row>
    <row r="33" ht="24.0" customHeight="1">
      <c r="A33" s="78"/>
      <c r="B33" s="78"/>
      <c r="C33" s="99"/>
      <c r="D33" s="78"/>
      <c r="E33" s="78"/>
      <c r="F33" s="78"/>
      <c r="G33" s="78"/>
      <c r="H33" s="108"/>
      <c r="I33" s="108"/>
      <c r="J33" s="78"/>
    </row>
    <row r="34" ht="24.0" customHeight="1">
      <c r="A34" s="78"/>
      <c r="B34" s="78"/>
      <c r="C34" s="99"/>
      <c r="D34" s="78"/>
      <c r="E34" s="78"/>
      <c r="F34" s="78"/>
      <c r="G34" s="78"/>
      <c r="H34" s="108"/>
      <c r="I34" s="108"/>
      <c r="J34" s="78"/>
    </row>
    <row r="35" ht="24.0" customHeight="1">
      <c r="A35" s="78"/>
      <c r="B35" s="78"/>
      <c r="C35" s="99"/>
      <c r="D35" s="78"/>
      <c r="E35" s="78"/>
      <c r="F35" s="78"/>
      <c r="G35" s="78"/>
      <c r="H35" s="108"/>
      <c r="I35" s="108"/>
      <c r="J35" s="78"/>
    </row>
    <row r="36" ht="24.0" customHeight="1">
      <c r="A36" s="78"/>
      <c r="B36" s="78"/>
      <c r="C36" s="99"/>
      <c r="D36" s="78"/>
      <c r="E36" s="78"/>
      <c r="F36" s="78"/>
      <c r="G36" s="78"/>
      <c r="H36" s="108"/>
      <c r="I36" s="108"/>
      <c r="J36" s="78"/>
    </row>
    <row r="37" ht="24.0" customHeight="1">
      <c r="A37" s="78"/>
      <c r="B37" s="78"/>
      <c r="C37" s="99"/>
      <c r="D37" s="78"/>
      <c r="E37" s="78"/>
      <c r="F37" s="78"/>
      <c r="G37" s="78"/>
      <c r="H37" s="108"/>
      <c r="I37" s="108"/>
      <c r="J37" s="78"/>
    </row>
    <row r="38" ht="24.0" customHeight="1">
      <c r="A38" s="78"/>
      <c r="B38" s="78"/>
      <c r="C38" s="99"/>
      <c r="D38" s="78"/>
      <c r="E38" s="78"/>
      <c r="F38" s="78"/>
      <c r="G38" s="78"/>
      <c r="H38" s="108"/>
      <c r="I38" s="108"/>
      <c r="J38" s="78"/>
    </row>
    <row r="39" ht="24.0" customHeight="1">
      <c r="A39" s="78"/>
      <c r="B39" s="78"/>
      <c r="C39" s="99"/>
      <c r="D39" s="78"/>
      <c r="E39" s="78"/>
      <c r="F39" s="78"/>
      <c r="G39" s="78"/>
      <c r="H39" s="108"/>
      <c r="I39" s="108"/>
      <c r="J39" s="78"/>
    </row>
    <row r="40" ht="24.0" customHeight="1">
      <c r="A40" s="78"/>
      <c r="B40" s="78"/>
      <c r="C40" s="99"/>
      <c r="D40" s="78"/>
      <c r="E40" s="78"/>
      <c r="F40" s="78"/>
      <c r="G40" s="78"/>
      <c r="H40" s="108"/>
      <c r="I40" s="108"/>
      <c r="J40" s="78"/>
    </row>
    <row r="41" ht="24.0" customHeight="1">
      <c r="A41" s="78"/>
      <c r="B41" s="78"/>
      <c r="C41" s="99"/>
      <c r="D41" s="78"/>
      <c r="E41" s="78"/>
      <c r="F41" s="78"/>
      <c r="G41" s="78"/>
      <c r="H41" s="108"/>
      <c r="I41" s="108"/>
      <c r="J41" s="78"/>
    </row>
    <row r="42" ht="24.0" customHeight="1">
      <c r="A42" s="78"/>
      <c r="B42" s="78"/>
      <c r="C42" s="99"/>
      <c r="D42" s="78"/>
      <c r="E42" s="78"/>
      <c r="F42" s="78"/>
      <c r="G42" s="78"/>
      <c r="H42" s="108"/>
      <c r="I42" s="108"/>
      <c r="J42" s="78"/>
    </row>
    <row r="43" ht="24.0" customHeight="1">
      <c r="A43" s="78"/>
      <c r="B43" s="78"/>
      <c r="C43" s="99"/>
      <c r="D43" s="78"/>
      <c r="E43" s="78"/>
      <c r="F43" s="78"/>
      <c r="G43" s="78"/>
      <c r="H43" s="108"/>
      <c r="I43" s="108"/>
      <c r="J43" s="78"/>
    </row>
    <row r="44" ht="24.0" customHeight="1">
      <c r="A44" s="78"/>
      <c r="B44" s="78"/>
      <c r="C44" s="99"/>
      <c r="D44" s="78"/>
      <c r="E44" s="78"/>
      <c r="F44" s="78"/>
      <c r="G44" s="78"/>
      <c r="H44" s="108"/>
      <c r="I44" s="108"/>
      <c r="J44" s="78"/>
    </row>
    <row r="45" ht="24.0" customHeight="1">
      <c r="A45" s="78"/>
      <c r="B45" s="78"/>
      <c r="C45" s="99"/>
      <c r="D45" s="78"/>
      <c r="E45" s="78"/>
      <c r="F45" s="78"/>
      <c r="G45" s="78"/>
      <c r="H45" s="108"/>
      <c r="I45" s="108"/>
      <c r="J45" s="78"/>
    </row>
    <row r="46" ht="24.0" customHeight="1">
      <c r="A46" s="78"/>
      <c r="B46" s="78"/>
      <c r="C46" s="99"/>
      <c r="D46" s="78"/>
      <c r="E46" s="78"/>
      <c r="F46" s="78"/>
      <c r="G46" s="78"/>
      <c r="H46" s="108"/>
      <c r="I46" s="108"/>
      <c r="J46" s="78"/>
    </row>
    <row r="47" ht="24.0" customHeight="1">
      <c r="A47" s="78"/>
      <c r="B47" s="78"/>
      <c r="C47" s="99"/>
      <c r="D47" s="78"/>
      <c r="E47" s="78"/>
      <c r="F47" s="78"/>
      <c r="G47" s="78"/>
      <c r="H47" s="108"/>
      <c r="I47" s="108"/>
      <c r="J47" s="78"/>
    </row>
    <row r="48" ht="24.0" customHeight="1">
      <c r="A48" s="78"/>
      <c r="B48" s="78"/>
      <c r="C48" s="99"/>
      <c r="D48" s="78"/>
      <c r="E48" s="78"/>
      <c r="F48" s="78"/>
      <c r="G48" s="78"/>
      <c r="H48" s="108"/>
      <c r="I48" s="108"/>
      <c r="J48" s="78"/>
    </row>
    <row r="49" ht="24.0" customHeight="1">
      <c r="A49" s="78"/>
      <c r="B49" s="78"/>
      <c r="C49" s="99"/>
      <c r="D49" s="78"/>
      <c r="E49" s="78"/>
      <c r="F49" s="78"/>
      <c r="G49" s="78"/>
      <c r="H49" s="108"/>
      <c r="I49" s="108"/>
      <c r="J49" s="78"/>
    </row>
    <row r="50" ht="24.0" customHeight="1">
      <c r="A50" s="78"/>
      <c r="B50" s="78"/>
      <c r="C50" s="99"/>
      <c r="D50" s="78"/>
      <c r="E50" s="78"/>
      <c r="F50" s="78"/>
      <c r="G50" s="78"/>
      <c r="H50" s="108"/>
      <c r="I50" s="108"/>
      <c r="J50" s="78"/>
    </row>
    <row r="51" ht="24.0" customHeight="1">
      <c r="A51" s="78"/>
      <c r="B51" s="78"/>
      <c r="C51" s="99"/>
      <c r="D51" s="78"/>
      <c r="E51" s="78"/>
      <c r="F51" s="78"/>
      <c r="G51" s="78"/>
      <c r="H51" s="108"/>
      <c r="I51" s="108"/>
      <c r="J51" s="78"/>
    </row>
    <row r="52" ht="24.0" customHeight="1">
      <c r="A52" s="78"/>
      <c r="B52" s="78"/>
      <c r="C52" s="99"/>
      <c r="D52" s="78"/>
      <c r="E52" s="78"/>
      <c r="F52" s="78"/>
      <c r="G52" s="78"/>
      <c r="H52" s="108"/>
      <c r="I52" s="108"/>
      <c r="J52" s="78"/>
    </row>
    <row r="53" ht="24.0" customHeight="1">
      <c r="A53" s="78"/>
      <c r="B53" s="78"/>
      <c r="C53" s="99"/>
      <c r="D53" s="78"/>
      <c r="E53" s="78"/>
      <c r="F53" s="78"/>
      <c r="G53" s="78"/>
      <c r="H53" s="108"/>
      <c r="I53" s="108"/>
      <c r="J53" s="78"/>
    </row>
    <row r="54" ht="24.0" customHeight="1">
      <c r="A54" s="78"/>
      <c r="B54" s="78"/>
      <c r="C54" s="99"/>
      <c r="D54" s="78"/>
      <c r="E54" s="78"/>
      <c r="F54" s="78"/>
      <c r="G54" s="78"/>
      <c r="H54" s="108"/>
      <c r="I54" s="108"/>
      <c r="J54" s="78"/>
    </row>
    <row r="55" ht="24.0" customHeight="1">
      <c r="A55" s="78"/>
      <c r="B55" s="78"/>
      <c r="C55" s="99"/>
      <c r="D55" s="78"/>
      <c r="E55" s="78"/>
      <c r="F55" s="78"/>
      <c r="G55" s="78"/>
      <c r="H55" s="108"/>
      <c r="I55" s="108"/>
      <c r="J55" s="78"/>
    </row>
    <row r="56" ht="24.0" customHeight="1">
      <c r="A56" s="78"/>
      <c r="B56" s="78"/>
      <c r="C56" s="99"/>
      <c r="D56" s="78"/>
      <c r="E56" s="78"/>
      <c r="F56" s="78"/>
      <c r="G56" s="78"/>
      <c r="H56" s="108"/>
      <c r="I56" s="108"/>
      <c r="J56" s="78"/>
    </row>
    <row r="57" ht="24.0" customHeight="1">
      <c r="A57" s="78"/>
      <c r="B57" s="78"/>
      <c r="C57" s="99"/>
      <c r="D57" s="78"/>
      <c r="E57" s="78"/>
      <c r="F57" s="78"/>
      <c r="G57" s="78"/>
      <c r="H57" s="108"/>
      <c r="I57" s="108"/>
      <c r="J57" s="78"/>
    </row>
    <row r="58" ht="24.0" customHeight="1">
      <c r="A58" s="78"/>
      <c r="B58" s="78"/>
      <c r="C58" s="99"/>
      <c r="D58" s="78"/>
      <c r="E58" s="78"/>
      <c r="F58" s="78"/>
      <c r="G58" s="78"/>
      <c r="H58" s="108"/>
      <c r="I58" s="108"/>
      <c r="J58" s="78"/>
    </row>
    <row r="59" ht="24.0" customHeight="1">
      <c r="A59" s="78"/>
      <c r="B59" s="78"/>
      <c r="C59" s="99"/>
      <c r="D59" s="78"/>
      <c r="E59" s="78"/>
      <c r="F59" s="78"/>
      <c r="G59" s="78"/>
      <c r="H59" s="108"/>
      <c r="I59" s="108"/>
      <c r="J59" s="78"/>
    </row>
    <row r="60" ht="24.0" customHeight="1">
      <c r="A60" s="78"/>
      <c r="B60" s="78"/>
      <c r="C60" s="99"/>
      <c r="D60" s="78"/>
      <c r="E60" s="78"/>
      <c r="F60" s="78"/>
      <c r="G60" s="78"/>
      <c r="H60" s="108"/>
      <c r="I60" s="108"/>
      <c r="J60" s="78"/>
    </row>
    <row r="61" ht="24.0" customHeight="1">
      <c r="A61" s="78"/>
      <c r="B61" s="78"/>
      <c r="C61" s="99"/>
      <c r="D61" s="78"/>
      <c r="E61" s="78"/>
      <c r="F61" s="78"/>
      <c r="G61" s="78"/>
      <c r="H61" s="108"/>
      <c r="I61" s="108"/>
      <c r="J61" s="78"/>
    </row>
    <row r="62" ht="24.0" customHeight="1">
      <c r="A62" s="78"/>
      <c r="B62" s="78"/>
      <c r="C62" s="99"/>
      <c r="D62" s="78"/>
      <c r="E62" s="78"/>
      <c r="F62" s="78"/>
      <c r="G62" s="78"/>
      <c r="H62" s="108"/>
      <c r="I62" s="108"/>
      <c r="J62" s="78"/>
    </row>
    <row r="63" ht="24.0" customHeight="1">
      <c r="A63" s="78"/>
      <c r="B63" s="78"/>
      <c r="C63" s="99"/>
      <c r="D63" s="78"/>
      <c r="E63" s="78"/>
      <c r="F63" s="78"/>
      <c r="G63" s="78"/>
      <c r="H63" s="108"/>
      <c r="I63" s="108"/>
      <c r="J63" s="78"/>
    </row>
    <row r="64" ht="24.0" customHeight="1">
      <c r="A64" s="78"/>
      <c r="B64" s="78"/>
      <c r="C64" s="99"/>
      <c r="D64" s="78"/>
      <c r="E64" s="78"/>
      <c r="F64" s="78"/>
      <c r="G64" s="78"/>
      <c r="H64" s="108"/>
      <c r="I64" s="108"/>
      <c r="J64" s="78"/>
    </row>
    <row r="65" ht="24.0" customHeight="1">
      <c r="A65" s="78"/>
      <c r="B65" s="78"/>
      <c r="C65" s="99"/>
      <c r="D65" s="78"/>
      <c r="E65" s="78"/>
      <c r="F65" s="78"/>
      <c r="G65" s="78"/>
      <c r="H65" s="108"/>
      <c r="I65" s="108"/>
      <c r="J65" s="78"/>
    </row>
    <row r="66" ht="24.0" customHeight="1">
      <c r="A66" s="78"/>
      <c r="B66" s="78"/>
      <c r="C66" s="99"/>
      <c r="D66" s="78"/>
      <c r="E66" s="78"/>
      <c r="F66" s="78"/>
      <c r="G66" s="78"/>
      <c r="H66" s="108"/>
      <c r="I66" s="108"/>
      <c r="J66" s="78"/>
    </row>
    <row r="67" ht="24.0" customHeight="1">
      <c r="A67" s="78"/>
      <c r="B67" s="78"/>
      <c r="C67" s="99"/>
      <c r="D67" s="78"/>
      <c r="E67" s="78"/>
      <c r="F67" s="78"/>
      <c r="G67" s="78"/>
      <c r="H67" s="108"/>
      <c r="I67" s="108"/>
      <c r="J67" s="78"/>
    </row>
    <row r="68" ht="24.0" customHeight="1">
      <c r="A68" s="78"/>
      <c r="B68" s="78"/>
      <c r="C68" s="99"/>
      <c r="D68" s="78"/>
      <c r="E68" s="78"/>
      <c r="F68" s="78"/>
      <c r="G68" s="78"/>
      <c r="H68" s="108"/>
      <c r="I68" s="108"/>
      <c r="J68" s="78"/>
    </row>
    <row r="69" ht="24.0" customHeight="1">
      <c r="A69" s="78"/>
      <c r="B69" s="78"/>
      <c r="C69" s="99"/>
      <c r="D69" s="78"/>
      <c r="E69" s="78"/>
      <c r="F69" s="78"/>
      <c r="G69" s="78"/>
      <c r="H69" s="108"/>
      <c r="I69" s="108"/>
      <c r="J69" s="78"/>
    </row>
    <row r="70" ht="24.0" customHeight="1">
      <c r="A70" s="78"/>
      <c r="B70" s="78"/>
      <c r="C70" s="99"/>
      <c r="D70" s="78"/>
      <c r="E70" s="78"/>
      <c r="F70" s="78"/>
      <c r="G70" s="78"/>
      <c r="H70" s="108"/>
      <c r="I70" s="108"/>
      <c r="J70" s="78"/>
    </row>
    <row r="71" ht="24.0" customHeight="1">
      <c r="A71" s="78"/>
      <c r="B71" s="78"/>
      <c r="C71" s="99"/>
      <c r="D71" s="78"/>
      <c r="E71" s="78"/>
      <c r="F71" s="78"/>
      <c r="G71" s="78"/>
      <c r="H71" s="108"/>
      <c r="I71" s="108"/>
      <c r="J71" s="78"/>
    </row>
    <row r="72" ht="24.0" customHeight="1">
      <c r="A72" s="78"/>
      <c r="B72" s="78"/>
      <c r="C72" s="99"/>
      <c r="D72" s="78"/>
      <c r="E72" s="78"/>
      <c r="F72" s="78"/>
      <c r="G72" s="78"/>
      <c r="H72" s="108"/>
      <c r="I72" s="108"/>
      <c r="J72" s="78"/>
    </row>
    <row r="73" ht="24.0" customHeight="1">
      <c r="A73" s="78"/>
      <c r="B73" s="78"/>
      <c r="C73" s="99"/>
      <c r="D73" s="78"/>
      <c r="E73" s="78"/>
      <c r="F73" s="78"/>
      <c r="G73" s="78"/>
      <c r="H73" s="108"/>
      <c r="I73" s="108"/>
      <c r="J73" s="78"/>
    </row>
    <row r="74" ht="24.0" customHeight="1">
      <c r="A74" s="78"/>
      <c r="B74" s="78"/>
      <c r="C74" s="99"/>
      <c r="D74" s="78"/>
      <c r="E74" s="78"/>
      <c r="F74" s="78"/>
      <c r="G74" s="78"/>
      <c r="H74" s="108"/>
      <c r="I74" s="108"/>
      <c r="J74" s="78"/>
    </row>
    <row r="75" ht="24.0" customHeight="1">
      <c r="A75" s="78"/>
      <c r="B75" s="78"/>
      <c r="C75" s="99"/>
      <c r="D75" s="78"/>
      <c r="E75" s="78"/>
      <c r="F75" s="78"/>
      <c r="G75" s="78"/>
      <c r="H75" s="108"/>
      <c r="I75" s="108"/>
      <c r="J75" s="78"/>
    </row>
    <row r="76" ht="24.0" customHeight="1">
      <c r="A76" s="78"/>
      <c r="B76" s="78"/>
      <c r="C76" s="99"/>
      <c r="D76" s="78"/>
      <c r="E76" s="78"/>
      <c r="F76" s="78"/>
      <c r="G76" s="78"/>
      <c r="H76" s="108"/>
      <c r="I76" s="108"/>
      <c r="J76" s="78"/>
    </row>
    <row r="77" ht="24.0" customHeight="1">
      <c r="A77" s="78"/>
      <c r="B77" s="78"/>
      <c r="C77" s="99"/>
      <c r="D77" s="78"/>
      <c r="E77" s="78"/>
      <c r="F77" s="78"/>
      <c r="G77" s="78"/>
      <c r="H77" s="108"/>
      <c r="I77" s="108"/>
      <c r="J77" s="78"/>
    </row>
    <row r="78" ht="24.0" customHeight="1">
      <c r="A78" s="78"/>
      <c r="B78" s="78"/>
      <c r="C78" s="99"/>
      <c r="D78" s="78"/>
      <c r="E78" s="78"/>
      <c r="F78" s="78"/>
      <c r="G78" s="78"/>
      <c r="H78" s="108"/>
      <c r="I78" s="108"/>
      <c r="J78" s="78"/>
    </row>
    <row r="79" ht="24.0" customHeight="1">
      <c r="A79" s="78"/>
      <c r="B79" s="78"/>
      <c r="C79" s="99"/>
      <c r="D79" s="78"/>
      <c r="E79" s="78"/>
      <c r="F79" s="78"/>
      <c r="G79" s="78"/>
      <c r="H79" s="108"/>
      <c r="I79" s="108"/>
      <c r="J79" s="78"/>
    </row>
    <row r="80" ht="24.0" customHeight="1">
      <c r="A80" s="78"/>
      <c r="B80" s="78"/>
      <c r="C80" s="99"/>
      <c r="D80" s="78"/>
      <c r="E80" s="78"/>
      <c r="F80" s="78"/>
      <c r="G80" s="78"/>
      <c r="H80" s="108"/>
      <c r="I80" s="108"/>
      <c r="J80" s="78"/>
    </row>
    <row r="81" ht="24.0" customHeight="1">
      <c r="A81" s="78"/>
      <c r="B81" s="78"/>
      <c r="C81" s="99"/>
      <c r="D81" s="78"/>
      <c r="E81" s="78"/>
      <c r="F81" s="78"/>
      <c r="G81" s="78"/>
      <c r="H81" s="108"/>
      <c r="I81" s="108"/>
      <c r="J81" s="78"/>
    </row>
    <row r="82" ht="24.0" customHeight="1">
      <c r="A82" s="78"/>
      <c r="B82" s="78"/>
      <c r="C82" s="99"/>
      <c r="D82" s="78"/>
      <c r="E82" s="78"/>
      <c r="F82" s="78"/>
      <c r="G82" s="78"/>
      <c r="H82" s="108"/>
      <c r="I82" s="108"/>
      <c r="J82" s="78"/>
    </row>
    <row r="83" ht="24.0" customHeight="1">
      <c r="A83" s="78"/>
      <c r="B83" s="78"/>
      <c r="C83" s="99"/>
      <c r="D83" s="78"/>
      <c r="E83" s="78"/>
      <c r="F83" s="78"/>
      <c r="G83" s="78"/>
      <c r="H83" s="108"/>
      <c r="I83" s="108"/>
      <c r="J83" s="78"/>
    </row>
    <row r="84" ht="24.0" customHeight="1">
      <c r="A84" s="78"/>
      <c r="B84" s="78"/>
      <c r="C84" s="99"/>
      <c r="D84" s="78"/>
      <c r="E84" s="78"/>
      <c r="F84" s="78"/>
      <c r="G84" s="78"/>
      <c r="H84" s="108"/>
      <c r="I84" s="108"/>
      <c r="J84" s="78"/>
    </row>
    <row r="85" ht="24.0" customHeight="1">
      <c r="A85" s="78"/>
      <c r="B85" s="78"/>
      <c r="C85" s="99"/>
      <c r="D85" s="78"/>
      <c r="E85" s="78"/>
      <c r="F85" s="78"/>
      <c r="G85" s="78"/>
      <c r="H85" s="108"/>
      <c r="I85" s="108"/>
      <c r="J85" s="78"/>
    </row>
    <row r="86" ht="24.0" customHeight="1">
      <c r="A86" s="78"/>
      <c r="B86" s="78"/>
      <c r="C86" s="99"/>
      <c r="D86" s="78"/>
      <c r="E86" s="78"/>
      <c r="F86" s="78"/>
      <c r="G86" s="78"/>
      <c r="H86" s="108"/>
      <c r="I86" s="108"/>
      <c r="J86" s="78"/>
    </row>
    <row r="87" ht="24.0" customHeight="1">
      <c r="A87" s="78"/>
      <c r="B87" s="78"/>
      <c r="C87" s="99"/>
      <c r="D87" s="78"/>
      <c r="E87" s="78"/>
      <c r="F87" s="78"/>
      <c r="G87" s="78"/>
      <c r="H87" s="108"/>
      <c r="I87" s="108"/>
      <c r="J87" s="78"/>
    </row>
    <row r="88" ht="24.0" customHeight="1">
      <c r="A88" s="78"/>
      <c r="B88" s="78"/>
      <c r="C88" s="99"/>
      <c r="D88" s="78"/>
      <c r="E88" s="78"/>
      <c r="F88" s="78"/>
      <c r="G88" s="78"/>
      <c r="H88" s="108"/>
      <c r="I88" s="108"/>
      <c r="J88" s="78"/>
    </row>
    <row r="89" ht="24.0" customHeight="1">
      <c r="A89" s="78"/>
      <c r="B89" s="78"/>
      <c r="C89" s="99"/>
      <c r="D89" s="78"/>
      <c r="E89" s="78"/>
      <c r="F89" s="78"/>
      <c r="G89" s="78"/>
      <c r="H89" s="108"/>
      <c r="I89" s="108"/>
      <c r="J89" s="78"/>
    </row>
    <row r="90" ht="24.0" customHeight="1">
      <c r="A90" s="78"/>
      <c r="B90" s="78"/>
      <c r="C90" s="99"/>
      <c r="D90" s="78"/>
      <c r="E90" s="78"/>
      <c r="F90" s="78"/>
      <c r="G90" s="78"/>
      <c r="H90" s="108"/>
      <c r="I90" s="108"/>
      <c r="J90" s="78"/>
    </row>
    <row r="91" ht="24.0" customHeight="1">
      <c r="A91" s="78"/>
      <c r="B91" s="78"/>
      <c r="C91" s="99"/>
      <c r="D91" s="78"/>
      <c r="E91" s="78"/>
      <c r="F91" s="78"/>
      <c r="G91" s="78"/>
      <c r="H91" s="108"/>
      <c r="I91" s="108"/>
      <c r="J91" s="78"/>
    </row>
    <row r="92" ht="24.0" customHeight="1">
      <c r="A92" s="78"/>
      <c r="B92" s="78"/>
      <c r="C92" s="99"/>
      <c r="D92" s="78"/>
      <c r="E92" s="78"/>
      <c r="F92" s="78"/>
      <c r="G92" s="78"/>
      <c r="H92" s="108"/>
      <c r="I92" s="108"/>
      <c r="J92" s="78"/>
    </row>
    <row r="93" ht="24.0" customHeight="1">
      <c r="A93" s="78"/>
      <c r="B93" s="78"/>
      <c r="C93" s="99"/>
      <c r="D93" s="78"/>
      <c r="E93" s="78"/>
      <c r="F93" s="78"/>
      <c r="G93" s="78"/>
      <c r="H93" s="108"/>
      <c r="I93" s="108"/>
      <c r="J93" s="78"/>
    </row>
    <row r="94" ht="24.0" customHeight="1">
      <c r="A94" s="78"/>
      <c r="B94" s="78"/>
      <c r="C94" s="99"/>
      <c r="D94" s="78"/>
      <c r="E94" s="78"/>
      <c r="F94" s="78"/>
      <c r="G94" s="78"/>
      <c r="H94" s="108"/>
      <c r="I94" s="108"/>
      <c r="J94" s="78"/>
    </row>
    <row r="95" ht="24.0" customHeight="1">
      <c r="A95" s="78"/>
      <c r="B95" s="78"/>
      <c r="C95" s="99"/>
      <c r="D95" s="78"/>
      <c r="E95" s="78"/>
      <c r="F95" s="78"/>
      <c r="G95" s="78"/>
      <c r="H95" s="108"/>
      <c r="I95" s="108"/>
      <c r="J95" s="78"/>
    </row>
    <row r="96" ht="24.0" customHeight="1">
      <c r="A96" s="78"/>
      <c r="B96" s="78"/>
      <c r="C96" s="99"/>
      <c r="D96" s="78"/>
      <c r="E96" s="78"/>
      <c r="F96" s="78"/>
      <c r="G96" s="78"/>
      <c r="H96" s="108"/>
      <c r="I96" s="108"/>
      <c r="J96" s="78"/>
    </row>
    <row r="97" ht="24.0" customHeight="1">
      <c r="A97" s="78"/>
      <c r="B97" s="78"/>
      <c r="C97" s="99"/>
      <c r="D97" s="78"/>
      <c r="E97" s="78"/>
      <c r="F97" s="78"/>
      <c r="G97" s="78"/>
      <c r="H97" s="108"/>
      <c r="I97" s="108"/>
      <c r="J97" s="78"/>
    </row>
    <row r="98" ht="24.0" customHeight="1">
      <c r="A98" s="78"/>
      <c r="B98" s="78"/>
      <c r="C98" s="99"/>
      <c r="D98" s="78"/>
      <c r="E98" s="78"/>
      <c r="F98" s="78"/>
      <c r="G98" s="78"/>
      <c r="H98" s="108"/>
      <c r="I98" s="108"/>
      <c r="J98" s="78"/>
    </row>
    <row r="99" ht="24.0" customHeight="1">
      <c r="A99" s="78"/>
      <c r="B99" s="78"/>
      <c r="C99" s="99"/>
      <c r="D99" s="78"/>
      <c r="E99" s="78"/>
      <c r="F99" s="78"/>
      <c r="G99" s="78"/>
      <c r="H99" s="108"/>
      <c r="I99" s="108"/>
      <c r="J99" s="78"/>
    </row>
    <row r="100" ht="24.0" customHeight="1">
      <c r="A100" s="78"/>
      <c r="B100" s="78"/>
      <c r="C100" s="99"/>
      <c r="D100" s="78"/>
      <c r="E100" s="78"/>
      <c r="F100" s="78"/>
      <c r="G100" s="78"/>
      <c r="H100" s="108"/>
      <c r="I100" s="108"/>
      <c r="J100" s="78"/>
    </row>
    <row r="101" ht="24.0" customHeight="1">
      <c r="A101" s="78"/>
      <c r="B101" s="78"/>
      <c r="C101" s="99"/>
      <c r="D101" s="78"/>
      <c r="E101" s="78"/>
      <c r="F101" s="78"/>
      <c r="G101" s="78"/>
      <c r="H101" s="108"/>
      <c r="I101" s="108"/>
      <c r="J101" s="78"/>
    </row>
    <row r="102" ht="24.0" customHeight="1">
      <c r="A102" s="78"/>
      <c r="B102" s="78"/>
      <c r="C102" s="99"/>
      <c r="D102" s="78"/>
      <c r="E102" s="78"/>
      <c r="F102" s="78"/>
      <c r="G102" s="78"/>
      <c r="H102" s="108"/>
      <c r="I102" s="108"/>
      <c r="J102" s="78"/>
    </row>
    <row r="103" ht="24.0" customHeight="1">
      <c r="A103" s="78"/>
      <c r="B103" s="78"/>
      <c r="C103" s="99"/>
      <c r="D103" s="78"/>
      <c r="E103" s="78"/>
      <c r="F103" s="78"/>
      <c r="G103" s="78"/>
      <c r="H103" s="108"/>
      <c r="I103" s="108"/>
      <c r="J103" s="78"/>
    </row>
    <row r="104" ht="24.0" customHeight="1">
      <c r="A104" s="78"/>
      <c r="B104" s="78"/>
      <c r="C104" s="99"/>
      <c r="D104" s="78"/>
      <c r="E104" s="78"/>
      <c r="F104" s="78"/>
      <c r="G104" s="78"/>
      <c r="H104" s="108"/>
      <c r="I104" s="108"/>
      <c r="J104" s="78"/>
    </row>
    <row r="105" ht="24.0" customHeight="1">
      <c r="A105" s="78"/>
      <c r="B105" s="78"/>
      <c r="C105" s="99"/>
      <c r="D105" s="78"/>
      <c r="E105" s="78"/>
      <c r="F105" s="78"/>
      <c r="G105" s="78"/>
      <c r="H105" s="108"/>
      <c r="I105" s="108"/>
      <c r="J105" s="78"/>
    </row>
    <row r="106" ht="24.0" customHeight="1">
      <c r="A106" s="78"/>
      <c r="B106" s="78"/>
      <c r="C106" s="99"/>
      <c r="D106" s="78"/>
      <c r="E106" s="78"/>
      <c r="F106" s="78"/>
      <c r="G106" s="78"/>
      <c r="H106" s="108"/>
      <c r="I106" s="108"/>
      <c r="J106" s="78"/>
    </row>
    <row r="107" ht="24.0" customHeight="1">
      <c r="A107" s="78"/>
      <c r="B107" s="78"/>
      <c r="C107" s="99"/>
      <c r="D107" s="78"/>
      <c r="E107" s="78"/>
      <c r="F107" s="78"/>
      <c r="G107" s="78"/>
      <c r="H107" s="108"/>
      <c r="I107" s="108"/>
      <c r="J107" s="78"/>
    </row>
    <row r="108" ht="24.0" customHeight="1">
      <c r="A108" s="78"/>
      <c r="B108" s="78"/>
      <c r="C108" s="99"/>
      <c r="D108" s="78"/>
      <c r="E108" s="78"/>
      <c r="F108" s="78"/>
      <c r="G108" s="78"/>
      <c r="H108" s="108"/>
      <c r="I108" s="108"/>
      <c r="J108" s="78"/>
    </row>
    <row r="109" ht="24.0" customHeight="1">
      <c r="A109" s="78"/>
      <c r="B109" s="78"/>
      <c r="C109" s="99"/>
      <c r="D109" s="78"/>
      <c r="E109" s="78"/>
      <c r="F109" s="78"/>
      <c r="G109" s="78"/>
      <c r="H109" s="108"/>
      <c r="I109" s="108"/>
      <c r="J109" s="78"/>
    </row>
    <row r="110" ht="24.0" customHeight="1">
      <c r="A110" s="78"/>
      <c r="B110" s="78"/>
      <c r="C110" s="99"/>
      <c r="D110" s="78"/>
      <c r="E110" s="78"/>
      <c r="F110" s="78"/>
      <c r="G110" s="78"/>
      <c r="H110" s="108"/>
      <c r="I110" s="108"/>
      <c r="J110" s="78"/>
    </row>
    <row r="111" ht="24.0" customHeight="1">
      <c r="A111" s="78"/>
      <c r="B111" s="78"/>
      <c r="C111" s="99"/>
      <c r="D111" s="78"/>
      <c r="E111" s="78"/>
      <c r="F111" s="78"/>
      <c r="G111" s="78"/>
      <c r="H111" s="108"/>
      <c r="I111" s="108"/>
      <c r="J111" s="78"/>
    </row>
    <row r="112" ht="24.0" customHeight="1">
      <c r="A112" s="78"/>
      <c r="B112" s="78"/>
      <c r="C112" s="99"/>
      <c r="D112" s="78"/>
      <c r="E112" s="78"/>
      <c r="F112" s="78"/>
      <c r="G112" s="78"/>
      <c r="H112" s="108"/>
      <c r="I112" s="108"/>
      <c r="J112" s="78"/>
    </row>
    <row r="113" ht="24.0" customHeight="1">
      <c r="A113" s="78"/>
      <c r="B113" s="78"/>
      <c r="C113" s="99"/>
      <c r="D113" s="78"/>
      <c r="E113" s="78"/>
      <c r="F113" s="78"/>
      <c r="G113" s="78"/>
      <c r="H113" s="108"/>
      <c r="I113" s="108"/>
      <c r="J113" s="78"/>
    </row>
    <row r="114" ht="24.0" customHeight="1">
      <c r="A114" s="78"/>
      <c r="B114" s="78"/>
      <c r="C114" s="99"/>
      <c r="D114" s="78"/>
      <c r="E114" s="78"/>
      <c r="F114" s="78"/>
      <c r="G114" s="78"/>
      <c r="H114" s="108"/>
      <c r="I114" s="108"/>
      <c r="J114" s="78"/>
    </row>
    <row r="115" ht="24.0" customHeight="1">
      <c r="A115" s="78"/>
      <c r="B115" s="78"/>
      <c r="C115" s="99"/>
      <c r="D115" s="78"/>
      <c r="E115" s="78"/>
      <c r="F115" s="78"/>
      <c r="G115" s="78"/>
      <c r="H115" s="108"/>
      <c r="I115" s="108"/>
      <c r="J115" s="78"/>
    </row>
    <row r="116" ht="24.0" customHeight="1">
      <c r="A116" s="78"/>
      <c r="B116" s="78"/>
      <c r="C116" s="99"/>
      <c r="D116" s="78"/>
      <c r="E116" s="78"/>
      <c r="F116" s="78"/>
      <c r="G116" s="78"/>
      <c r="H116" s="108"/>
      <c r="I116" s="108"/>
      <c r="J116" s="78"/>
    </row>
    <row r="117" ht="24.0" customHeight="1">
      <c r="A117" s="78"/>
      <c r="B117" s="78"/>
      <c r="C117" s="99"/>
      <c r="D117" s="78"/>
      <c r="E117" s="78"/>
      <c r="F117" s="78"/>
      <c r="G117" s="78"/>
      <c r="H117" s="108"/>
      <c r="I117" s="108"/>
      <c r="J117" s="78"/>
    </row>
    <row r="118" ht="24.0" customHeight="1">
      <c r="A118" s="78"/>
      <c r="B118" s="78"/>
      <c r="C118" s="99"/>
      <c r="D118" s="78"/>
      <c r="E118" s="78"/>
      <c r="F118" s="78"/>
      <c r="G118" s="78"/>
      <c r="H118" s="108"/>
      <c r="I118" s="108"/>
      <c r="J118" s="78"/>
    </row>
    <row r="119" ht="24.0" customHeight="1">
      <c r="A119" s="78"/>
      <c r="B119" s="78"/>
      <c r="C119" s="99"/>
      <c r="D119" s="78"/>
      <c r="E119" s="78"/>
      <c r="F119" s="78"/>
      <c r="G119" s="78"/>
      <c r="H119" s="108"/>
      <c r="I119" s="108"/>
      <c r="J119" s="78"/>
    </row>
    <row r="120" ht="24.0" customHeight="1">
      <c r="A120" s="78"/>
      <c r="B120" s="78"/>
      <c r="C120" s="99"/>
      <c r="D120" s="78"/>
      <c r="E120" s="78"/>
      <c r="F120" s="78"/>
      <c r="G120" s="78"/>
      <c r="H120" s="108"/>
      <c r="I120" s="108"/>
      <c r="J120" s="78"/>
    </row>
    <row r="121" ht="24.0" customHeight="1">
      <c r="A121" s="78"/>
      <c r="B121" s="78"/>
      <c r="C121" s="99"/>
      <c r="D121" s="78"/>
      <c r="E121" s="78"/>
      <c r="F121" s="78"/>
      <c r="G121" s="78"/>
      <c r="H121" s="108"/>
      <c r="I121" s="108"/>
      <c r="J121" s="78"/>
    </row>
    <row r="122" ht="24.0" customHeight="1">
      <c r="A122" s="78"/>
      <c r="B122" s="78"/>
      <c r="C122" s="99"/>
      <c r="D122" s="78"/>
      <c r="E122" s="78"/>
      <c r="F122" s="78"/>
      <c r="G122" s="78"/>
      <c r="H122" s="108"/>
      <c r="I122" s="108"/>
      <c r="J122" s="78"/>
    </row>
    <row r="123" ht="24.0" customHeight="1">
      <c r="A123" s="78"/>
      <c r="B123" s="78"/>
      <c r="C123" s="99"/>
      <c r="D123" s="78"/>
      <c r="E123" s="78"/>
      <c r="F123" s="78"/>
      <c r="G123" s="78"/>
      <c r="H123" s="108"/>
      <c r="I123" s="108"/>
      <c r="J123" s="78"/>
    </row>
    <row r="124" ht="24.0" customHeight="1">
      <c r="A124" s="78"/>
      <c r="B124" s="78"/>
      <c r="C124" s="99"/>
      <c r="D124" s="78"/>
      <c r="E124" s="78"/>
      <c r="F124" s="78"/>
      <c r="G124" s="78"/>
      <c r="H124" s="108"/>
      <c r="I124" s="108"/>
      <c r="J124" s="78"/>
    </row>
    <row r="125" ht="24.0" customHeight="1">
      <c r="A125" s="78"/>
      <c r="B125" s="78"/>
      <c r="C125" s="99"/>
      <c r="D125" s="78"/>
      <c r="E125" s="78"/>
      <c r="F125" s="78"/>
      <c r="G125" s="78"/>
      <c r="H125" s="108"/>
      <c r="I125" s="108"/>
      <c r="J125" s="78"/>
    </row>
    <row r="126" ht="24.0" customHeight="1">
      <c r="A126" s="78"/>
      <c r="B126" s="78"/>
      <c r="C126" s="99"/>
      <c r="D126" s="78"/>
      <c r="E126" s="78"/>
      <c r="F126" s="78"/>
      <c r="G126" s="78"/>
      <c r="H126" s="108"/>
      <c r="I126" s="108"/>
      <c r="J126" s="78"/>
    </row>
    <row r="127" ht="24.0" customHeight="1">
      <c r="A127" s="78"/>
      <c r="B127" s="78"/>
      <c r="C127" s="99"/>
      <c r="D127" s="78"/>
      <c r="E127" s="78"/>
      <c r="F127" s="78"/>
      <c r="G127" s="78"/>
      <c r="H127" s="108"/>
      <c r="I127" s="108"/>
      <c r="J127" s="78"/>
    </row>
    <row r="128" ht="24.0" customHeight="1">
      <c r="A128" s="78"/>
      <c r="B128" s="78"/>
      <c r="C128" s="99"/>
      <c r="D128" s="78"/>
      <c r="E128" s="78"/>
      <c r="F128" s="78"/>
      <c r="G128" s="78"/>
      <c r="H128" s="108"/>
      <c r="I128" s="108"/>
      <c r="J128" s="78"/>
    </row>
    <row r="129" ht="24.0" customHeight="1">
      <c r="A129" s="78"/>
      <c r="B129" s="78"/>
      <c r="C129" s="99"/>
      <c r="D129" s="78"/>
      <c r="E129" s="78"/>
      <c r="F129" s="78"/>
      <c r="G129" s="78"/>
      <c r="H129" s="108"/>
      <c r="I129" s="108"/>
      <c r="J129" s="78"/>
    </row>
    <row r="130" ht="24.0" customHeight="1">
      <c r="A130" s="78"/>
      <c r="B130" s="78"/>
      <c r="C130" s="99"/>
      <c r="D130" s="78"/>
      <c r="E130" s="78"/>
      <c r="F130" s="78"/>
      <c r="G130" s="78"/>
      <c r="H130" s="108"/>
      <c r="I130" s="108"/>
      <c r="J130" s="78"/>
    </row>
    <row r="131" ht="24.0" customHeight="1">
      <c r="A131" s="78"/>
      <c r="B131" s="78"/>
      <c r="C131" s="99"/>
      <c r="D131" s="78"/>
      <c r="E131" s="78"/>
      <c r="F131" s="78"/>
      <c r="G131" s="78"/>
      <c r="H131" s="108"/>
      <c r="I131" s="108"/>
      <c r="J131" s="78"/>
    </row>
    <row r="132" ht="24.0" customHeight="1">
      <c r="A132" s="78"/>
      <c r="B132" s="78"/>
      <c r="C132" s="99"/>
      <c r="D132" s="78"/>
      <c r="E132" s="78"/>
      <c r="F132" s="78"/>
      <c r="G132" s="78"/>
      <c r="H132" s="108"/>
      <c r="I132" s="108"/>
      <c r="J132" s="78"/>
    </row>
    <row r="133" ht="24.0" customHeight="1">
      <c r="A133" s="78"/>
      <c r="B133" s="78"/>
      <c r="C133" s="99"/>
      <c r="D133" s="78"/>
      <c r="E133" s="78"/>
      <c r="F133" s="78"/>
      <c r="G133" s="78"/>
      <c r="H133" s="108"/>
      <c r="I133" s="108"/>
      <c r="J133" s="78"/>
    </row>
    <row r="134" ht="24.0" customHeight="1">
      <c r="A134" s="78"/>
      <c r="B134" s="78"/>
      <c r="C134" s="99"/>
      <c r="D134" s="78"/>
      <c r="E134" s="78"/>
      <c r="F134" s="78"/>
      <c r="G134" s="78"/>
      <c r="H134" s="108"/>
      <c r="I134" s="108"/>
      <c r="J134" s="78"/>
    </row>
    <row r="135" ht="24.0" customHeight="1">
      <c r="A135" s="78"/>
      <c r="B135" s="78"/>
      <c r="C135" s="99"/>
      <c r="D135" s="78"/>
      <c r="E135" s="78"/>
      <c r="F135" s="78"/>
      <c r="G135" s="78"/>
      <c r="H135" s="108"/>
      <c r="I135" s="108"/>
      <c r="J135" s="78"/>
    </row>
    <row r="136" ht="24.0" customHeight="1">
      <c r="A136" s="78"/>
      <c r="B136" s="78"/>
      <c r="C136" s="99"/>
      <c r="D136" s="78"/>
      <c r="E136" s="78"/>
      <c r="F136" s="78"/>
      <c r="G136" s="78"/>
      <c r="H136" s="108"/>
      <c r="I136" s="108"/>
      <c r="J136" s="78"/>
    </row>
    <row r="137" ht="24.0" customHeight="1">
      <c r="A137" s="78"/>
      <c r="B137" s="78"/>
      <c r="C137" s="99"/>
      <c r="D137" s="78"/>
      <c r="E137" s="78"/>
      <c r="F137" s="78"/>
      <c r="G137" s="78"/>
      <c r="H137" s="108"/>
      <c r="I137" s="108"/>
      <c r="J137" s="78"/>
    </row>
    <row r="138" ht="24.0" customHeight="1">
      <c r="A138" s="78"/>
      <c r="B138" s="78"/>
      <c r="C138" s="99"/>
      <c r="D138" s="78"/>
      <c r="E138" s="78"/>
      <c r="F138" s="78"/>
      <c r="G138" s="78"/>
      <c r="H138" s="108"/>
      <c r="I138" s="108"/>
      <c r="J138" s="78"/>
    </row>
    <row r="139" ht="24.0" customHeight="1">
      <c r="A139" s="78"/>
      <c r="B139" s="78"/>
      <c r="C139" s="99"/>
      <c r="D139" s="78"/>
      <c r="E139" s="78"/>
      <c r="F139" s="78"/>
      <c r="G139" s="78"/>
      <c r="H139" s="108"/>
      <c r="I139" s="108"/>
      <c r="J139" s="78"/>
    </row>
    <row r="140" ht="24.0" customHeight="1">
      <c r="A140" s="78"/>
      <c r="B140" s="78"/>
      <c r="C140" s="99"/>
      <c r="D140" s="78"/>
      <c r="E140" s="78"/>
      <c r="F140" s="78"/>
      <c r="G140" s="78"/>
      <c r="H140" s="108"/>
      <c r="I140" s="108"/>
      <c r="J140" s="78"/>
    </row>
    <row r="141" ht="24.0" customHeight="1">
      <c r="A141" s="78"/>
      <c r="B141" s="78"/>
      <c r="C141" s="99"/>
      <c r="D141" s="78"/>
      <c r="E141" s="78"/>
      <c r="F141" s="78"/>
      <c r="G141" s="78"/>
      <c r="H141" s="108"/>
      <c r="I141" s="108"/>
      <c r="J141" s="78"/>
    </row>
    <row r="142" ht="24.0" customHeight="1">
      <c r="A142" s="78"/>
      <c r="B142" s="78"/>
      <c r="C142" s="99"/>
      <c r="D142" s="78"/>
      <c r="E142" s="78"/>
      <c r="F142" s="78"/>
      <c r="G142" s="78"/>
      <c r="H142" s="108"/>
      <c r="I142" s="108"/>
      <c r="J142" s="78"/>
    </row>
    <row r="143" ht="24.0" customHeight="1">
      <c r="A143" s="78"/>
      <c r="B143" s="78"/>
      <c r="C143" s="99"/>
      <c r="D143" s="78"/>
      <c r="E143" s="78"/>
      <c r="F143" s="78"/>
      <c r="G143" s="78"/>
      <c r="H143" s="108"/>
      <c r="I143" s="108"/>
      <c r="J143" s="78"/>
    </row>
    <row r="144" ht="24.0" customHeight="1">
      <c r="A144" s="78"/>
      <c r="B144" s="78"/>
      <c r="C144" s="99"/>
      <c r="D144" s="78"/>
      <c r="E144" s="78"/>
      <c r="F144" s="78"/>
      <c r="G144" s="78"/>
      <c r="H144" s="108"/>
      <c r="I144" s="108"/>
      <c r="J144" s="78"/>
    </row>
    <row r="145" ht="24.0" customHeight="1">
      <c r="A145" s="78"/>
      <c r="B145" s="78"/>
      <c r="C145" s="99"/>
      <c r="D145" s="78"/>
      <c r="E145" s="78"/>
      <c r="F145" s="78"/>
      <c r="G145" s="78"/>
      <c r="H145" s="108"/>
      <c r="I145" s="108"/>
      <c r="J145" s="78"/>
    </row>
    <row r="146" ht="24.0" customHeight="1">
      <c r="A146" s="78"/>
      <c r="B146" s="78"/>
      <c r="C146" s="99"/>
      <c r="D146" s="78"/>
      <c r="E146" s="78"/>
      <c r="F146" s="78"/>
      <c r="G146" s="78"/>
      <c r="H146" s="108"/>
      <c r="I146" s="108"/>
      <c r="J146" s="78"/>
    </row>
    <row r="147" ht="24.0" customHeight="1">
      <c r="A147" s="78"/>
      <c r="B147" s="78"/>
      <c r="C147" s="99"/>
      <c r="D147" s="78"/>
      <c r="E147" s="78"/>
      <c r="F147" s="78"/>
      <c r="G147" s="78"/>
      <c r="H147" s="108"/>
      <c r="I147" s="108"/>
      <c r="J147" s="78"/>
    </row>
    <row r="148" ht="24.0" customHeight="1">
      <c r="A148" s="78"/>
      <c r="B148" s="78"/>
      <c r="C148" s="99"/>
      <c r="D148" s="78"/>
      <c r="E148" s="78"/>
      <c r="F148" s="78"/>
      <c r="G148" s="78"/>
      <c r="H148" s="108"/>
      <c r="I148" s="108"/>
      <c r="J148" s="78"/>
    </row>
    <row r="149" ht="24.0" customHeight="1">
      <c r="A149" s="78"/>
      <c r="B149" s="78"/>
      <c r="C149" s="99"/>
      <c r="D149" s="78"/>
      <c r="E149" s="78"/>
      <c r="F149" s="78"/>
      <c r="G149" s="78"/>
      <c r="H149" s="108"/>
      <c r="I149" s="108"/>
      <c r="J149" s="78"/>
    </row>
    <row r="150" ht="24.0" customHeight="1">
      <c r="A150" s="78"/>
      <c r="B150" s="78"/>
      <c r="C150" s="99"/>
      <c r="D150" s="78"/>
      <c r="E150" s="78"/>
      <c r="F150" s="78"/>
      <c r="G150" s="78"/>
      <c r="H150" s="108"/>
      <c r="I150" s="108"/>
      <c r="J150" s="78"/>
    </row>
    <row r="151" ht="24.0" customHeight="1">
      <c r="A151" s="78"/>
      <c r="B151" s="78"/>
      <c r="C151" s="99"/>
      <c r="D151" s="78"/>
      <c r="E151" s="78"/>
      <c r="F151" s="78"/>
      <c r="G151" s="78"/>
      <c r="H151" s="108"/>
      <c r="I151" s="108"/>
      <c r="J151" s="78"/>
    </row>
    <row r="152" ht="24.0" customHeight="1">
      <c r="A152" s="78"/>
      <c r="B152" s="78"/>
      <c r="C152" s="99"/>
      <c r="D152" s="78"/>
      <c r="E152" s="78"/>
      <c r="F152" s="78"/>
      <c r="G152" s="78"/>
      <c r="H152" s="108"/>
      <c r="I152" s="108"/>
      <c r="J152" s="78"/>
    </row>
    <row r="153" ht="24.0" customHeight="1">
      <c r="A153" s="78"/>
      <c r="B153" s="78"/>
      <c r="C153" s="99"/>
      <c r="D153" s="78"/>
      <c r="E153" s="78"/>
      <c r="F153" s="78"/>
      <c r="G153" s="78"/>
      <c r="H153" s="108"/>
      <c r="I153" s="108"/>
      <c r="J153" s="78"/>
    </row>
    <row r="154" ht="24.0" customHeight="1">
      <c r="A154" s="78"/>
      <c r="B154" s="78"/>
      <c r="C154" s="99"/>
      <c r="D154" s="78"/>
      <c r="E154" s="78"/>
      <c r="F154" s="78"/>
      <c r="G154" s="78"/>
      <c r="H154" s="108"/>
      <c r="I154" s="108"/>
      <c r="J154" s="78"/>
    </row>
    <row r="155" ht="24.0" customHeight="1">
      <c r="A155" s="78"/>
      <c r="B155" s="78"/>
      <c r="C155" s="99"/>
      <c r="D155" s="78"/>
      <c r="E155" s="78"/>
      <c r="F155" s="78"/>
      <c r="G155" s="78"/>
      <c r="H155" s="108"/>
      <c r="I155" s="108"/>
      <c r="J155" s="78"/>
    </row>
    <row r="156" ht="24.0" customHeight="1">
      <c r="A156" s="78"/>
      <c r="B156" s="78"/>
      <c r="C156" s="99"/>
      <c r="D156" s="78"/>
      <c r="E156" s="78"/>
      <c r="F156" s="78"/>
      <c r="G156" s="78"/>
      <c r="H156" s="108"/>
      <c r="I156" s="108"/>
      <c r="J156" s="78"/>
    </row>
    <row r="157" ht="24.0" customHeight="1">
      <c r="A157" s="78"/>
      <c r="B157" s="78"/>
      <c r="C157" s="99"/>
      <c r="D157" s="78"/>
      <c r="E157" s="78"/>
      <c r="F157" s="78"/>
      <c r="G157" s="78"/>
      <c r="H157" s="108"/>
      <c r="I157" s="108"/>
      <c r="J157" s="78"/>
    </row>
    <row r="158" ht="24.0" customHeight="1">
      <c r="A158" s="78"/>
      <c r="B158" s="78"/>
      <c r="C158" s="99"/>
      <c r="D158" s="78"/>
      <c r="E158" s="78"/>
      <c r="F158" s="78"/>
      <c r="G158" s="78"/>
      <c r="H158" s="108"/>
      <c r="I158" s="108"/>
      <c r="J158" s="78"/>
    </row>
    <row r="159" ht="24.0" customHeight="1">
      <c r="A159" s="78"/>
      <c r="B159" s="78"/>
      <c r="C159" s="99"/>
      <c r="D159" s="78"/>
      <c r="E159" s="78"/>
      <c r="F159" s="78"/>
      <c r="G159" s="78"/>
      <c r="H159" s="108"/>
      <c r="I159" s="108"/>
      <c r="J159" s="78"/>
    </row>
    <row r="160" ht="24.0" customHeight="1">
      <c r="A160" s="78"/>
      <c r="B160" s="78"/>
      <c r="C160" s="99"/>
      <c r="D160" s="78"/>
      <c r="E160" s="78"/>
      <c r="F160" s="78"/>
      <c r="G160" s="78"/>
      <c r="H160" s="108"/>
      <c r="I160" s="108"/>
      <c r="J160" s="78"/>
    </row>
    <row r="161" ht="24.0" customHeight="1">
      <c r="A161" s="78"/>
      <c r="B161" s="78"/>
      <c r="C161" s="99"/>
      <c r="D161" s="78"/>
      <c r="E161" s="78"/>
      <c r="F161" s="78"/>
      <c r="G161" s="78"/>
      <c r="H161" s="108"/>
      <c r="I161" s="108"/>
      <c r="J161" s="78"/>
    </row>
    <row r="162" ht="24.0" customHeight="1">
      <c r="A162" s="78"/>
      <c r="B162" s="78"/>
      <c r="C162" s="99"/>
      <c r="D162" s="78"/>
      <c r="E162" s="78"/>
      <c r="F162" s="78"/>
      <c r="G162" s="78"/>
      <c r="H162" s="108"/>
      <c r="I162" s="108"/>
      <c r="J162" s="78"/>
    </row>
    <row r="163" ht="24.0" customHeight="1">
      <c r="A163" s="78"/>
      <c r="B163" s="78"/>
      <c r="C163" s="99"/>
      <c r="D163" s="78"/>
      <c r="E163" s="78"/>
      <c r="F163" s="78"/>
      <c r="G163" s="78"/>
      <c r="H163" s="108"/>
      <c r="I163" s="108"/>
      <c r="J163" s="78"/>
    </row>
    <row r="164" ht="24.0" customHeight="1">
      <c r="A164" s="78"/>
      <c r="B164" s="78"/>
      <c r="C164" s="99"/>
      <c r="D164" s="78"/>
      <c r="E164" s="78"/>
      <c r="F164" s="78"/>
      <c r="G164" s="78"/>
      <c r="H164" s="108"/>
      <c r="I164" s="108"/>
      <c r="J164" s="78"/>
    </row>
    <row r="165" ht="24.0" customHeight="1">
      <c r="A165" s="78"/>
      <c r="B165" s="78"/>
      <c r="C165" s="99"/>
      <c r="D165" s="78"/>
      <c r="E165" s="78"/>
      <c r="F165" s="78"/>
      <c r="G165" s="78"/>
      <c r="H165" s="108"/>
      <c r="I165" s="108"/>
      <c r="J165" s="78"/>
    </row>
    <row r="166" ht="24.0" customHeight="1">
      <c r="A166" s="78"/>
      <c r="B166" s="78"/>
      <c r="C166" s="99"/>
      <c r="D166" s="78"/>
      <c r="E166" s="78"/>
      <c r="F166" s="78"/>
      <c r="G166" s="78"/>
      <c r="H166" s="108"/>
      <c r="I166" s="108"/>
      <c r="J166" s="78"/>
    </row>
    <row r="167" ht="24.0" customHeight="1">
      <c r="A167" s="78"/>
      <c r="B167" s="78"/>
      <c r="C167" s="99"/>
      <c r="D167" s="78"/>
      <c r="E167" s="78"/>
      <c r="F167" s="78"/>
      <c r="G167" s="78"/>
      <c r="H167" s="108"/>
      <c r="I167" s="108"/>
      <c r="J167" s="78"/>
    </row>
    <row r="168" ht="24.0" customHeight="1">
      <c r="A168" s="78"/>
      <c r="B168" s="78"/>
      <c r="C168" s="99"/>
      <c r="D168" s="78"/>
      <c r="E168" s="78"/>
      <c r="F168" s="78"/>
      <c r="G168" s="78"/>
      <c r="H168" s="108"/>
      <c r="I168" s="108"/>
      <c r="J168" s="78"/>
    </row>
    <row r="169" ht="24.0" customHeight="1">
      <c r="A169" s="78"/>
      <c r="B169" s="78"/>
      <c r="C169" s="99"/>
      <c r="D169" s="78"/>
      <c r="E169" s="78"/>
      <c r="F169" s="78"/>
      <c r="G169" s="78"/>
      <c r="H169" s="108"/>
      <c r="I169" s="108"/>
      <c r="J169" s="78"/>
    </row>
    <row r="170" ht="24.0" customHeight="1">
      <c r="A170" s="78"/>
      <c r="B170" s="78"/>
      <c r="C170" s="99"/>
      <c r="D170" s="78"/>
      <c r="E170" s="78"/>
      <c r="F170" s="78"/>
      <c r="G170" s="78"/>
      <c r="H170" s="108"/>
      <c r="I170" s="108"/>
      <c r="J170" s="78"/>
    </row>
    <row r="171" ht="24.0" customHeight="1">
      <c r="A171" s="78"/>
      <c r="B171" s="78"/>
      <c r="C171" s="99"/>
      <c r="D171" s="78"/>
      <c r="E171" s="78"/>
      <c r="F171" s="78"/>
      <c r="G171" s="78"/>
      <c r="H171" s="108"/>
      <c r="I171" s="108"/>
      <c r="J171" s="78"/>
    </row>
    <row r="172" ht="24.0" customHeight="1">
      <c r="A172" s="78"/>
      <c r="B172" s="78"/>
      <c r="C172" s="99"/>
      <c r="D172" s="78"/>
      <c r="E172" s="78"/>
      <c r="F172" s="78"/>
      <c r="G172" s="78"/>
      <c r="H172" s="108"/>
      <c r="I172" s="108"/>
      <c r="J172" s="78"/>
    </row>
    <row r="173" ht="24.0" customHeight="1">
      <c r="A173" s="78"/>
      <c r="B173" s="78"/>
      <c r="C173" s="99"/>
      <c r="D173" s="78"/>
      <c r="E173" s="78"/>
      <c r="F173" s="78"/>
      <c r="G173" s="78"/>
      <c r="H173" s="108"/>
      <c r="I173" s="108"/>
      <c r="J173" s="78"/>
    </row>
    <row r="174" ht="24.0" customHeight="1">
      <c r="A174" s="78"/>
      <c r="B174" s="78"/>
      <c r="C174" s="99"/>
      <c r="D174" s="78"/>
      <c r="E174" s="78"/>
      <c r="F174" s="78"/>
      <c r="G174" s="78"/>
      <c r="H174" s="108"/>
      <c r="I174" s="108"/>
      <c r="J174" s="78"/>
    </row>
    <row r="175" ht="24.0" customHeight="1">
      <c r="A175" s="78"/>
      <c r="B175" s="78"/>
      <c r="C175" s="99"/>
      <c r="D175" s="78"/>
      <c r="E175" s="78"/>
      <c r="F175" s="78"/>
      <c r="G175" s="78"/>
      <c r="H175" s="108"/>
      <c r="I175" s="108"/>
      <c r="J175" s="78"/>
    </row>
    <row r="176" ht="24.0" customHeight="1">
      <c r="A176" s="78"/>
      <c r="B176" s="78"/>
      <c r="C176" s="99"/>
      <c r="D176" s="78"/>
      <c r="E176" s="78"/>
      <c r="F176" s="78"/>
      <c r="G176" s="78"/>
      <c r="H176" s="108"/>
      <c r="I176" s="108"/>
      <c r="J176" s="78"/>
    </row>
    <row r="177" ht="24.0" customHeight="1">
      <c r="A177" s="78"/>
      <c r="B177" s="78"/>
      <c r="C177" s="99"/>
      <c r="D177" s="78"/>
      <c r="E177" s="78"/>
      <c r="F177" s="78"/>
      <c r="G177" s="78"/>
      <c r="H177" s="108"/>
      <c r="I177" s="108"/>
      <c r="J177" s="78"/>
    </row>
    <row r="178" ht="24.0" customHeight="1">
      <c r="A178" s="78"/>
      <c r="B178" s="78"/>
      <c r="C178" s="99"/>
      <c r="D178" s="78"/>
      <c r="E178" s="78"/>
      <c r="F178" s="78"/>
      <c r="G178" s="78"/>
      <c r="H178" s="108"/>
      <c r="I178" s="108"/>
      <c r="J178" s="78"/>
    </row>
    <row r="179" ht="24.0" customHeight="1">
      <c r="A179" s="78"/>
      <c r="B179" s="78"/>
      <c r="C179" s="99"/>
      <c r="D179" s="78"/>
      <c r="E179" s="78"/>
      <c r="F179" s="78"/>
      <c r="G179" s="78"/>
      <c r="H179" s="108"/>
      <c r="I179" s="108"/>
      <c r="J179" s="78"/>
    </row>
    <row r="180" ht="24.0" customHeight="1">
      <c r="A180" s="78"/>
      <c r="B180" s="78"/>
      <c r="C180" s="99"/>
      <c r="D180" s="78"/>
      <c r="E180" s="78"/>
      <c r="F180" s="78"/>
      <c r="G180" s="78"/>
      <c r="H180" s="108"/>
      <c r="I180" s="108"/>
      <c r="J180" s="78"/>
    </row>
    <row r="181" ht="24.0" customHeight="1">
      <c r="A181" s="78"/>
      <c r="B181" s="78"/>
      <c r="C181" s="99"/>
      <c r="D181" s="78"/>
      <c r="E181" s="78"/>
      <c r="F181" s="78"/>
      <c r="G181" s="78"/>
      <c r="H181" s="108"/>
      <c r="I181" s="108"/>
      <c r="J181" s="78"/>
    </row>
    <row r="182" ht="24.0" customHeight="1">
      <c r="A182" s="78"/>
      <c r="B182" s="78"/>
      <c r="C182" s="99"/>
      <c r="D182" s="78"/>
      <c r="E182" s="78"/>
      <c r="F182" s="78"/>
      <c r="G182" s="78"/>
      <c r="H182" s="108"/>
      <c r="I182" s="108"/>
      <c r="J182" s="78"/>
    </row>
    <row r="183" ht="24.0" customHeight="1">
      <c r="A183" s="78"/>
      <c r="B183" s="78"/>
      <c r="C183" s="99"/>
      <c r="D183" s="78"/>
      <c r="E183" s="78"/>
      <c r="F183" s="78"/>
      <c r="G183" s="78"/>
      <c r="H183" s="108"/>
      <c r="I183" s="108"/>
      <c r="J183" s="78"/>
    </row>
    <row r="184" ht="24.0" customHeight="1">
      <c r="A184" s="78"/>
      <c r="B184" s="78"/>
      <c r="C184" s="99"/>
      <c r="D184" s="78"/>
      <c r="E184" s="78"/>
      <c r="F184" s="78"/>
      <c r="G184" s="78"/>
      <c r="H184" s="108"/>
      <c r="I184" s="108"/>
      <c r="J184" s="78"/>
    </row>
    <row r="185" ht="24.0" customHeight="1">
      <c r="A185" s="78"/>
      <c r="B185" s="78"/>
      <c r="C185" s="99"/>
      <c r="D185" s="78"/>
      <c r="E185" s="78"/>
      <c r="F185" s="78"/>
      <c r="G185" s="78"/>
      <c r="H185" s="108"/>
      <c r="I185" s="108"/>
      <c r="J185" s="78"/>
    </row>
    <row r="186" ht="24.0" customHeight="1">
      <c r="A186" s="78"/>
      <c r="B186" s="78"/>
      <c r="C186" s="99"/>
      <c r="D186" s="78"/>
      <c r="E186" s="78"/>
      <c r="F186" s="78"/>
      <c r="G186" s="78"/>
      <c r="H186" s="108"/>
      <c r="I186" s="108"/>
      <c r="J186" s="78"/>
    </row>
    <row r="187" ht="24.0" customHeight="1">
      <c r="A187" s="78"/>
      <c r="B187" s="78"/>
      <c r="C187" s="99"/>
      <c r="D187" s="78"/>
      <c r="E187" s="78"/>
      <c r="F187" s="78"/>
      <c r="G187" s="78"/>
      <c r="H187" s="108"/>
      <c r="I187" s="108"/>
      <c r="J187" s="78"/>
    </row>
    <row r="188" ht="24.0" customHeight="1">
      <c r="A188" s="78"/>
      <c r="B188" s="78"/>
      <c r="C188" s="99"/>
      <c r="D188" s="78"/>
      <c r="E188" s="78"/>
      <c r="F188" s="78"/>
      <c r="G188" s="78"/>
      <c r="H188" s="108"/>
      <c r="I188" s="108"/>
      <c r="J188" s="78"/>
    </row>
    <row r="189" ht="24.0" customHeight="1">
      <c r="A189" s="78"/>
      <c r="B189" s="78"/>
      <c r="C189" s="99"/>
      <c r="D189" s="78"/>
      <c r="E189" s="78"/>
      <c r="F189" s="78"/>
      <c r="G189" s="78"/>
      <c r="H189" s="108"/>
      <c r="I189" s="108"/>
      <c r="J189" s="78"/>
    </row>
    <row r="190" ht="24.0" customHeight="1">
      <c r="A190" s="78"/>
      <c r="B190" s="78"/>
      <c r="C190" s="99"/>
      <c r="D190" s="78"/>
      <c r="E190" s="78"/>
      <c r="F190" s="78"/>
      <c r="G190" s="78"/>
      <c r="H190" s="108"/>
      <c r="I190" s="108"/>
      <c r="J190" s="78"/>
    </row>
    <row r="191" ht="24.0" customHeight="1">
      <c r="A191" s="78"/>
      <c r="B191" s="78"/>
      <c r="C191" s="99"/>
      <c r="D191" s="78"/>
      <c r="E191" s="78"/>
      <c r="F191" s="78"/>
      <c r="G191" s="78"/>
      <c r="H191" s="108"/>
      <c r="I191" s="108"/>
      <c r="J191" s="78"/>
    </row>
    <row r="192" ht="24.0" customHeight="1">
      <c r="A192" s="78"/>
      <c r="B192" s="78"/>
      <c r="C192" s="99"/>
      <c r="D192" s="78"/>
      <c r="E192" s="78"/>
      <c r="F192" s="78"/>
      <c r="G192" s="78"/>
      <c r="H192" s="108"/>
      <c r="I192" s="108"/>
      <c r="J192" s="78"/>
    </row>
    <row r="193" ht="24.0" customHeight="1">
      <c r="A193" s="78"/>
      <c r="B193" s="78"/>
      <c r="C193" s="99"/>
      <c r="D193" s="78"/>
      <c r="E193" s="78"/>
      <c r="F193" s="78"/>
      <c r="G193" s="78"/>
      <c r="H193" s="108"/>
      <c r="I193" s="108"/>
      <c r="J193" s="78"/>
    </row>
    <row r="194" ht="24.0" customHeight="1">
      <c r="A194" s="78"/>
      <c r="B194" s="78"/>
      <c r="C194" s="99"/>
      <c r="D194" s="78"/>
      <c r="E194" s="78"/>
      <c r="F194" s="78"/>
      <c r="G194" s="78"/>
      <c r="H194" s="108"/>
      <c r="I194" s="108"/>
      <c r="J194" s="78"/>
    </row>
    <row r="195" ht="24.0" customHeight="1">
      <c r="A195" s="78"/>
      <c r="B195" s="78"/>
      <c r="C195" s="99"/>
      <c r="D195" s="78"/>
      <c r="E195" s="78"/>
      <c r="F195" s="78"/>
      <c r="G195" s="78"/>
      <c r="H195" s="108"/>
      <c r="I195" s="108"/>
      <c r="J195" s="78"/>
    </row>
    <row r="196" ht="24.0" customHeight="1">
      <c r="A196" s="78"/>
      <c r="B196" s="78"/>
      <c r="C196" s="99"/>
      <c r="D196" s="78"/>
      <c r="E196" s="78"/>
      <c r="F196" s="78"/>
      <c r="G196" s="78"/>
      <c r="H196" s="108"/>
      <c r="I196" s="108"/>
      <c r="J196" s="78"/>
    </row>
    <row r="197" ht="24.0" customHeight="1">
      <c r="A197" s="78"/>
      <c r="B197" s="78"/>
      <c r="C197" s="99"/>
      <c r="D197" s="78"/>
      <c r="E197" s="78"/>
      <c r="F197" s="78"/>
      <c r="G197" s="78"/>
      <c r="H197" s="108"/>
      <c r="I197" s="108"/>
      <c r="J197" s="78"/>
    </row>
    <row r="198" ht="24.0" customHeight="1">
      <c r="A198" s="78"/>
      <c r="B198" s="78"/>
      <c r="C198" s="99"/>
      <c r="D198" s="78"/>
      <c r="E198" s="78"/>
      <c r="F198" s="78"/>
      <c r="G198" s="78"/>
      <c r="H198" s="108"/>
      <c r="I198" s="108"/>
      <c r="J198" s="78"/>
    </row>
    <row r="199" ht="24.0" customHeight="1">
      <c r="A199" s="78"/>
      <c r="B199" s="78"/>
      <c r="C199" s="99"/>
      <c r="D199" s="78"/>
      <c r="E199" s="78"/>
      <c r="F199" s="78"/>
      <c r="G199" s="78"/>
      <c r="H199" s="108"/>
      <c r="I199" s="108"/>
      <c r="J199" s="78"/>
    </row>
    <row r="200" ht="24.0" customHeight="1">
      <c r="A200" s="78"/>
      <c r="B200" s="78"/>
      <c r="C200" s="99"/>
      <c r="D200" s="78"/>
      <c r="E200" s="78"/>
      <c r="F200" s="78"/>
      <c r="G200" s="78"/>
      <c r="H200" s="108"/>
      <c r="I200" s="108"/>
      <c r="J200" s="78"/>
    </row>
    <row r="201" ht="24.0" customHeight="1">
      <c r="A201" s="78"/>
      <c r="B201" s="78"/>
      <c r="C201" s="99"/>
      <c r="D201" s="78"/>
      <c r="E201" s="78"/>
      <c r="F201" s="78"/>
      <c r="G201" s="78"/>
      <c r="H201" s="108"/>
      <c r="I201" s="108"/>
      <c r="J201" s="78"/>
    </row>
    <row r="202" ht="24.0" customHeight="1">
      <c r="A202" s="78"/>
      <c r="B202" s="78"/>
      <c r="C202" s="99"/>
      <c r="D202" s="78"/>
      <c r="E202" s="78"/>
      <c r="F202" s="78"/>
      <c r="G202" s="78"/>
      <c r="H202" s="108"/>
      <c r="I202" s="108"/>
      <c r="J202" s="78"/>
    </row>
    <row r="203" ht="24.0" customHeight="1">
      <c r="A203" s="78"/>
      <c r="B203" s="78"/>
      <c r="C203" s="99"/>
      <c r="D203" s="78"/>
      <c r="E203" s="78"/>
      <c r="F203" s="78"/>
      <c r="G203" s="78"/>
      <c r="H203" s="108"/>
      <c r="I203" s="108"/>
      <c r="J203" s="78"/>
    </row>
    <row r="204" ht="24.0" customHeight="1">
      <c r="A204" s="78"/>
      <c r="B204" s="78"/>
      <c r="C204" s="99"/>
      <c r="D204" s="78"/>
      <c r="E204" s="78"/>
      <c r="F204" s="78"/>
      <c r="G204" s="78"/>
      <c r="H204" s="108"/>
      <c r="I204" s="108"/>
      <c r="J204" s="78"/>
    </row>
    <row r="205" ht="24.0" customHeight="1">
      <c r="A205" s="78"/>
      <c r="B205" s="78"/>
      <c r="C205" s="99"/>
      <c r="D205" s="78"/>
      <c r="E205" s="78"/>
      <c r="F205" s="78"/>
      <c r="G205" s="78"/>
      <c r="H205" s="108"/>
      <c r="I205" s="108"/>
      <c r="J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B3"/>
  </mergeCells>
  <conditionalFormatting sqref="I6:I205">
    <cfRule type="expression" dxfId="10" priority="1">
      <formula>AND(I6&lt;&gt;"",I6&lt;TODAY())</formula>
    </cfRule>
  </conditionalFormatting>
  <conditionalFormatting sqref="I6:I205">
    <cfRule type="expression" dxfId="9" priority="2">
      <formula>AND(I6&gt;=TODAY(),I6&lt;=TODAY()+7)</formula>
    </cfRule>
  </conditionalFormatting>
  <dataValidations>
    <dataValidation type="custom" allowBlank="1" showDropDown="1" sqref="H6:I205">
      <formula1>OR(NOT(ISERROR(DATEVALUE(H6))), AND(ISNUMBER(H6), LEFT(CELL("format", H6))="D"))</formula1>
    </dataValidation>
    <dataValidation allowBlank="1" showDropDown="1" sqref="A6:B205 D6:G205 J6:J205"/>
    <dataValidation type="list" allowBlank="1" sqref="C6:C205">
      <formula1>"Professor,Admissions,Scholarship,Alumni,Current Student,Other"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3" width="18.0"/>
    <col customWidth="1" min="4" max="4" width="20.0"/>
    <col customWidth="1" min="5" max="5" width="34.0"/>
    <col customWidth="1" min="6" max="6" width="14.63"/>
    <col customWidth="1" min="7" max="7" width="15.25"/>
    <col customWidth="1" min="8" max="8" width="15.38"/>
    <col customWidth="1" min="9" max="9" width="17.0"/>
    <col customWidth="1" min="10" max="10" width="15.0"/>
    <col customWidth="1" min="11" max="11" width="42.0"/>
    <col customWidth="1" min="12" max="14" width="15.75"/>
    <col customWidth="1" min="15" max="26" width="8.63"/>
  </cols>
  <sheetData>
    <row r="1" ht="33.75" customHeight="1">
      <c r="A1" s="1" t="s">
        <v>377</v>
      </c>
    </row>
    <row r="2" ht="27.75" customHeight="1">
      <c r="A2" s="2" t="s">
        <v>378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31.5" customHeight="1">
      <c r="A5" s="28" t="s">
        <v>379</v>
      </c>
      <c r="B5" s="28" t="s">
        <v>243</v>
      </c>
      <c r="C5" s="28" t="s">
        <v>242</v>
      </c>
      <c r="D5" s="28" t="s">
        <v>321</v>
      </c>
      <c r="E5" s="28" t="s">
        <v>380</v>
      </c>
      <c r="F5" s="28" t="s">
        <v>69</v>
      </c>
      <c r="G5" s="28" t="s">
        <v>71</v>
      </c>
      <c r="H5" s="28" t="s">
        <v>70</v>
      </c>
      <c r="I5" s="28" t="s">
        <v>245</v>
      </c>
      <c r="J5" s="28" t="s">
        <v>381</v>
      </c>
      <c r="K5" s="28" t="s">
        <v>85</v>
      </c>
      <c r="L5" s="29" t="s">
        <v>86</v>
      </c>
      <c r="M5" s="29" t="s">
        <v>87</v>
      </c>
      <c r="N5" s="29" t="s">
        <v>88</v>
      </c>
      <c r="O5" s="30" t="s">
        <v>85</v>
      </c>
    </row>
    <row r="6" ht="24.0" customHeight="1">
      <c r="A6" s="80" t="s">
        <v>382</v>
      </c>
      <c r="B6" s="86" t="s">
        <v>252</v>
      </c>
      <c r="C6" s="82" t="s">
        <v>161</v>
      </c>
      <c r="D6" s="86" t="s">
        <v>150</v>
      </c>
      <c r="E6" s="82" t="s">
        <v>383</v>
      </c>
      <c r="F6" s="90">
        <v>100.0</v>
      </c>
      <c r="G6" s="86" t="s">
        <v>97</v>
      </c>
      <c r="H6" s="86" t="s">
        <v>182</v>
      </c>
      <c r="I6" s="45">
        <v>46290.0</v>
      </c>
      <c r="J6" s="45"/>
      <c r="K6" s="93" t="s">
        <v>384</v>
      </c>
      <c r="L6" s="54">
        <f>IF(OR(F6="",G6=""),"",IFERROR(F6*VLOOKUP(G6,Setup!$A$38:$E$52,5,FALSE),""))</f>
        <v>1301.8</v>
      </c>
      <c r="M6" s="54">
        <f>IF(L6="","",IFERROR(L6/VLOOKUP("EUR",Setup!$A$38:$E$52,5,FALSE),""))</f>
        <v>100</v>
      </c>
      <c r="N6" s="54">
        <f>IF(L6="","",IFERROR(L6/VLOOKUP("USD",Setup!$A$38:$E$52,5,FALSE),""))</f>
        <v>116.8850292</v>
      </c>
    </row>
    <row r="7" ht="24.0" customHeight="1">
      <c r="A7" s="78"/>
      <c r="B7" s="99"/>
      <c r="C7" s="78"/>
      <c r="D7" s="99"/>
      <c r="E7" s="78"/>
      <c r="F7" s="104"/>
      <c r="G7" s="99"/>
      <c r="H7" s="99"/>
      <c r="I7" s="65"/>
      <c r="J7" s="65"/>
      <c r="K7" s="78"/>
      <c r="L7" s="54" t="str">
        <f>IF(OR(F7="",G7=""),"",IFERROR(F7*VLOOKUP(G7,Setup!$A$38:$E$52,5,FALSE),""))</f>
        <v/>
      </c>
      <c r="M7" s="54" t="str">
        <f>IF(L7="","",IFERROR(L7/VLOOKUP("EUR",Setup!$A$38:$E$52,5,FALSE),""))</f>
        <v/>
      </c>
      <c r="N7" s="54" t="str">
        <f>IF(L7="","",IFERROR(L7/VLOOKUP("USD",Setup!$A$38:$E$52,5,FALSE),""))</f>
        <v/>
      </c>
    </row>
    <row r="8" ht="24.0" customHeight="1">
      <c r="A8" s="78"/>
      <c r="B8" s="99"/>
      <c r="C8" s="78"/>
      <c r="D8" s="99"/>
      <c r="E8" s="78"/>
      <c r="F8" s="104"/>
      <c r="G8" s="99"/>
      <c r="H8" s="99"/>
      <c r="I8" s="65"/>
      <c r="J8" s="65"/>
      <c r="K8" s="78"/>
      <c r="L8" s="54" t="str">
        <f>IF(OR(F8="",G8=""),"",IFERROR(F8*VLOOKUP(G8,Setup!$A$38:$E$52,5,FALSE),""))</f>
        <v/>
      </c>
      <c r="M8" s="54" t="str">
        <f>IF(L8="","",IFERROR(L8/VLOOKUP("EUR",Setup!$A$38:$E$52,5,FALSE),""))</f>
        <v/>
      </c>
      <c r="N8" s="54" t="str">
        <f>IF(L8="","",IFERROR(L8/VLOOKUP("USD",Setup!$A$38:$E$52,5,FALSE),""))</f>
        <v/>
      </c>
    </row>
    <row r="9" ht="24.0" customHeight="1">
      <c r="A9" s="78"/>
      <c r="B9" s="99"/>
      <c r="C9" s="78"/>
      <c r="D9" s="99"/>
      <c r="E9" s="78"/>
      <c r="F9" s="104"/>
      <c r="G9" s="99"/>
      <c r="H9" s="99"/>
      <c r="I9" s="65"/>
      <c r="J9" s="65"/>
      <c r="K9" s="78"/>
      <c r="L9" s="54" t="str">
        <f>IF(OR(F9="",G9=""),"",IFERROR(F9*VLOOKUP(G9,Setup!$A$38:$E$52,5,FALSE),""))</f>
        <v/>
      </c>
      <c r="M9" s="54" t="str">
        <f>IF(L9="","",IFERROR(L9/VLOOKUP("EUR",Setup!$A$38:$E$52,5,FALSE),""))</f>
        <v/>
      </c>
      <c r="N9" s="54" t="str">
        <f>IF(L9="","",IFERROR(L9/VLOOKUP("USD",Setup!$A$38:$E$52,5,FALSE),""))</f>
        <v/>
      </c>
    </row>
    <row r="10" ht="24.0" customHeight="1">
      <c r="A10" s="78"/>
      <c r="B10" s="99"/>
      <c r="C10" s="78"/>
      <c r="D10" s="99"/>
      <c r="E10" s="78"/>
      <c r="F10" s="104"/>
      <c r="G10" s="99"/>
      <c r="H10" s="99"/>
      <c r="I10" s="65"/>
      <c r="J10" s="65"/>
      <c r="K10" s="78"/>
      <c r="L10" s="54" t="str">
        <f>IF(OR(F10="",G10=""),"",IFERROR(F10*VLOOKUP(G10,Setup!$A$38:$E$52,5,FALSE),""))</f>
        <v/>
      </c>
      <c r="M10" s="54" t="str">
        <f>IF(L10="","",IFERROR(L10/VLOOKUP("EUR",Setup!$A$38:$E$52,5,FALSE),""))</f>
        <v/>
      </c>
      <c r="N10" s="54" t="str">
        <f>IF(L10="","",IFERROR(L10/VLOOKUP("USD",Setup!$A$38:$E$52,5,FALSE),""))</f>
        <v/>
      </c>
    </row>
    <row r="11" ht="24.0" customHeight="1">
      <c r="A11" s="78"/>
      <c r="B11" s="99"/>
      <c r="C11" s="78"/>
      <c r="D11" s="99"/>
      <c r="E11" s="78"/>
      <c r="F11" s="104"/>
      <c r="G11" s="99"/>
      <c r="H11" s="99"/>
      <c r="I11" s="65"/>
      <c r="J11" s="65"/>
      <c r="K11" s="78"/>
      <c r="L11" s="54" t="str">
        <f>IF(OR(F11="",G11=""),"",IFERROR(F11*VLOOKUP(G11,Setup!$A$38:$E$52,5,FALSE),""))</f>
        <v/>
      </c>
      <c r="M11" s="54" t="str">
        <f>IF(L11="","",IFERROR(L11/VLOOKUP("EUR",Setup!$A$38:$E$52,5,FALSE),""))</f>
        <v/>
      </c>
      <c r="N11" s="54" t="str">
        <f>IF(L11="","",IFERROR(L11/VLOOKUP("USD",Setup!$A$38:$E$52,5,FALSE),""))</f>
        <v/>
      </c>
    </row>
    <row r="12" ht="24.0" customHeight="1">
      <c r="A12" s="78"/>
      <c r="B12" s="99"/>
      <c r="C12" s="78"/>
      <c r="D12" s="99"/>
      <c r="E12" s="78"/>
      <c r="F12" s="104"/>
      <c r="G12" s="99"/>
      <c r="H12" s="99"/>
      <c r="I12" s="65"/>
      <c r="J12" s="65"/>
      <c r="K12" s="78"/>
      <c r="L12" s="54" t="str">
        <f>IF(OR(F12="",G12=""),"",IFERROR(F12*VLOOKUP(G12,Setup!$A$38:$E$52,5,FALSE),""))</f>
        <v/>
      </c>
      <c r="M12" s="54" t="str">
        <f>IF(L12="","",IFERROR(L12/VLOOKUP("EUR",Setup!$A$38:$E$52,5,FALSE),""))</f>
        <v/>
      </c>
      <c r="N12" s="54" t="str">
        <f>IF(L12="","",IFERROR(L12/VLOOKUP("USD",Setup!$A$38:$E$52,5,FALSE),""))</f>
        <v/>
      </c>
    </row>
    <row r="13" ht="24.0" customHeight="1">
      <c r="A13" s="78"/>
      <c r="B13" s="99"/>
      <c r="C13" s="78"/>
      <c r="D13" s="99"/>
      <c r="E13" s="78"/>
      <c r="F13" s="104"/>
      <c r="G13" s="99"/>
      <c r="H13" s="99"/>
      <c r="I13" s="65"/>
      <c r="J13" s="65"/>
      <c r="K13" s="78"/>
      <c r="L13" s="54" t="str">
        <f>IF(OR(F13="",G13=""),"",IFERROR(F13*VLOOKUP(G13,Setup!$A$38:$E$52,5,FALSE),""))</f>
        <v/>
      </c>
      <c r="M13" s="54" t="str">
        <f>IF(L13="","",IFERROR(L13/VLOOKUP("EUR",Setup!$A$38:$E$52,5,FALSE),""))</f>
        <v/>
      </c>
      <c r="N13" s="54" t="str">
        <f>IF(L13="","",IFERROR(L13/VLOOKUP("USD",Setup!$A$38:$E$52,5,FALSE),""))</f>
        <v/>
      </c>
    </row>
    <row r="14" ht="24.0" customHeight="1">
      <c r="A14" s="78"/>
      <c r="B14" s="99"/>
      <c r="C14" s="78"/>
      <c r="D14" s="99"/>
      <c r="E14" s="78"/>
      <c r="F14" s="104"/>
      <c r="G14" s="99"/>
      <c r="H14" s="99"/>
      <c r="I14" s="65"/>
      <c r="J14" s="65"/>
      <c r="K14" s="78"/>
      <c r="L14" s="54" t="str">
        <f>IF(OR(F14="",G14=""),"",IFERROR(F14*VLOOKUP(G14,Setup!$A$38:$E$52,5,FALSE),""))</f>
        <v/>
      </c>
      <c r="M14" s="54" t="str">
        <f>IF(L14="","",IFERROR(L14/VLOOKUP("EUR",Setup!$A$38:$E$52,5,FALSE),""))</f>
        <v/>
      </c>
      <c r="N14" s="54" t="str">
        <f>IF(L14="","",IFERROR(L14/VLOOKUP("USD",Setup!$A$38:$E$52,5,FALSE),""))</f>
        <v/>
      </c>
    </row>
    <row r="15" ht="24.0" customHeight="1">
      <c r="A15" s="78"/>
      <c r="B15" s="99"/>
      <c r="C15" s="78"/>
      <c r="D15" s="99"/>
      <c r="E15" s="78"/>
      <c r="F15" s="104"/>
      <c r="G15" s="99"/>
      <c r="H15" s="99"/>
      <c r="I15" s="65"/>
      <c r="J15" s="65"/>
      <c r="K15" s="78"/>
      <c r="L15" s="54" t="str">
        <f>IF(OR(F15="",G15=""),"",IFERROR(F15*VLOOKUP(G15,Setup!$A$38:$E$52,5,FALSE),""))</f>
        <v/>
      </c>
      <c r="M15" s="54" t="str">
        <f>IF(L15="","",IFERROR(L15/VLOOKUP("EUR",Setup!$A$38:$E$52,5,FALSE),""))</f>
        <v/>
      </c>
      <c r="N15" s="54" t="str">
        <f>IF(L15="","",IFERROR(L15/VLOOKUP("USD",Setup!$A$38:$E$52,5,FALSE),""))</f>
        <v/>
      </c>
    </row>
    <row r="16" ht="24.0" customHeight="1">
      <c r="A16" s="78"/>
      <c r="B16" s="99"/>
      <c r="C16" s="78"/>
      <c r="D16" s="99"/>
      <c r="E16" s="78"/>
      <c r="F16" s="104"/>
      <c r="G16" s="99"/>
      <c r="H16" s="99"/>
      <c r="I16" s="65"/>
      <c r="J16" s="65"/>
      <c r="K16" s="78"/>
      <c r="L16" s="54" t="str">
        <f>IF(OR(F16="",G16=""),"",IFERROR(F16*VLOOKUP(G16,Setup!$A$38:$E$52,5,FALSE),""))</f>
        <v/>
      </c>
      <c r="M16" s="54" t="str">
        <f>IF(L16="","",IFERROR(L16/VLOOKUP("EUR",Setup!$A$38:$E$52,5,FALSE),""))</f>
        <v/>
      </c>
      <c r="N16" s="54" t="str">
        <f>IF(L16="","",IFERROR(L16/VLOOKUP("USD",Setup!$A$38:$E$52,5,FALSE),""))</f>
        <v/>
      </c>
    </row>
    <row r="17" ht="24.0" customHeight="1">
      <c r="A17" s="78"/>
      <c r="B17" s="99"/>
      <c r="C17" s="78"/>
      <c r="D17" s="99"/>
      <c r="E17" s="78"/>
      <c r="F17" s="104"/>
      <c r="G17" s="99"/>
      <c r="H17" s="99"/>
      <c r="I17" s="65"/>
      <c r="J17" s="65"/>
      <c r="K17" s="78"/>
      <c r="L17" s="54" t="str">
        <f>IF(OR(F17="",G17=""),"",IFERROR(F17*VLOOKUP(G17,Setup!$A$38:$E$52,5,FALSE),""))</f>
        <v/>
      </c>
      <c r="M17" s="54" t="str">
        <f>IF(L17="","",IFERROR(L17/VLOOKUP("EUR",Setup!$A$38:$E$52,5,FALSE),""))</f>
        <v/>
      </c>
      <c r="N17" s="54" t="str">
        <f>IF(L17="","",IFERROR(L17/VLOOKUP("USD",Setup!$A$38:$E$52,5,FALSE),""))</f>
        <v/>
      </c>
    </row>
    <row r="18" ht="24.0" customHeight="1">
      <c r="A18" s="78"/>
      <c r="B18" s="99"/>
      <c r="C18" s="78"/>
      <c r="D18" s="99"/>
      <c r="E18" s="78"/>
      <c r="F18" s="104"/>
      <c r="G18" s="99"/>
      <c r="H18" s="99"/>
      <c r="I18" s="65"/>
      <c r="J18" s="65"/>
      <c r="K18" s="78"/>
      <c r="L18" s="54" t="str">
        <f>IF(OR(F18="",G18=""),"",IFERROR(F18*VLOOKUP(G18,Setup!$A$38:$E$52,5,FALSE),""))</f>
        <v/>
      </c>
      <c r="M18" s="54" t="str">
        <f>IF(L18="","",IFERROR(L18/VLOOKUP("EUR",Setup!$A$38:$E$52,5,FALSE),""))</f>
        <v/>
      </c>
      <c r="N18" s="54" t="str">
        <f>IF(L18="","",IFERROR(L18/VLOOKUP("USD",Setup!$A$38:$E$52,5,FALSE),""))</f>
        <v/>
      </c>
    </row>
    <row r="19" ht="24.0" customHeight="1">
      <c r="A19" s="78"/>
      <c r="B19" s="99"/>
      <c r="C19" s="78"/>
      <c r="D19" s="99"/>
      <c r="E19" s="78"/>
      <c r="F19" s="104"/>
      <c r="G19" s="99"/>
      <c r="H19" s="99"/>
      <c r="I19" s="65"/>
      <c r="J19" s="65"/>
      <c r="K19" s="78"/>
      <c r="L19" s="54" t="str">
        <f>IF(OR(F19="",G19=""),"",IFERROR(F19*VLOOKUP(G19,Setup!$A$38:$E$52,5,FALSE),""))</f>
        <v/>
      </c>
      <c r="M19" s="54" t="str">
        <f>IF(L19="","",IFERROR(L19/VLOOKUP("EUR",Setup!$A$38:$E$52,5,FALSE),""))</f>
        <v/>
      </c>
      <c r="N19" s="54" t="str">
        <f>IF(L19="","",IFERROR(L19/VLOOKUP("USD",Setup!$A$38:$E$52,5,FALSE),""))</f>
        <v/>
      </c>
    </row>
    <row r="20" ht="24.0" customHeight="1">
      <c r="A20" s="78"/>
      <c r="B20" s="99"/>
      <c r="C20" s="78"/>
      <c r="D20" s="99"/>
      <c r="E20" s="78"/>
      <c r="F20" s="104"/>
      <c r="G20" s="99"/>
      <c r="H20" s="99"/>
      <c r="I20" s="65"/>
      <c r="J20" s="65"/>
      <c r="K20" s="78"/>
      <c r="L20" s="54" t="str">
        <f>IF(OR(F20="",G20=""),"",IFERROR(F20*VLOOKUP(G20,Setup!$A$38:$E$52,5,FALSE),""))</f>
        <v/>
      </c>
      <c r="M20" s="54" t="str">
        <f>IF(L20="","",IFERROR(L20/VLOOKUP("EUR",Setup!$A$38:$E$52,5,FALSE),""))</f>
        <v/>
      </c>
      <c r="N20" s="54" t="str">
        <f>IF(L20="","",IFERROR(L20/VLOOKUP("USD",Setup!$A$38:$E$52,5,FALSE),""))</f>
        <v/>
      </c>
    </row>
    <row r="21" ht="24.0" customHeight="1">
      <c r="A21" s="78"/>
      <c r="B21" s="99"/>
      <c r="C21" s="78"/>
      <c r="D21" s="99"/>
      <c r="E21" s="78"/>
      <c r="F21" s="104"/>
      <c r="G21" s="99"/>
      <c r="H21" s="99"/>
      <c r="I21" s="65"/>
      <c r="J21" s="65"/>
      <c r="K21" s="78"/>
      <c r="L21" s="54" t="str">
        <f>IF(OR(F21="",G21=""),"",IFERROR(F21*VLOOKUP(G21,Setup!$A$38:$E$52,5,FALSE),""))</f>
        <v/>
      </c>
      <c r="M21" s="54" t="str">
        <f>IF(L21="","",IFERROR(L21/VLOOKUP("EUR",Setup!$A$38:$E$52,5,FALSE),""))</f>
        <v/>
      </c>
      <c r="N21" s="54" t="str">
        <f>IF(L21="","",IFERROR(L21/VLOOKUP("USD",Setup!$A$38:$E$52,5,FALSE),""))</f>
        <v/>
      </c>
    </row>
    <row r="22" ht="24.0" customHeight="1">
      <c r="A22" s="78"/>
      <c r="B22" s="99"/>
      <c r="C22" s="78"/>
      <c r="D22" s="99"/>
      <c r="E22" s="78"/>
      <c r="F22" s="104"/>
      <c r="G22" s="99"/>
      <c r="H22" s="99"/>
      <c r="I22" s="65"/>
      <c r="J22" s="65"/>
      <c r="K22" s="78"/>
      <c r="L22" s="54" t="str">
        <f>IF(OR(F22="",G22=""),"",IFERROR(F22*VLOOKUP(G22,Setup!$A$38:$E$52,5,FALSE),""))</f>
        <v/>
      </c>
      <c r="M22" s="54" t="str">
        <f>IF(L22="","",IFERROR(L22/VLOOKUP("EUR",Setup!$A$38:$E$52,5,FALSE),""))</f>
        <v/>
      </c>
      <c r="N22" s="54" t="str">
        <f>IF(L22="","",IFERROR(L22/VLOOKUP("USD",Setup!$A$38:$E$52,5,FALSE),""))</f>
        <v/>
      </c>
    </row>
    <row r="23" ht="24.0" customHeight="1">
      <c r="A23" s="78"/>
      <c r="B23" s="99"/>
      <c r="C23" s="78"/>
      <c r="D23" s="99"/>
      <c r="E23" s="78"/>
      <c r="F23" s="104"/>
      <c r="G23" s="99"/>
      <c r="H23" s="99"/>
      <c r="I23" s="65"/>
      <c r="J23" s="65"/>
      <c r="K23" s="78"/>
      <c r="L23" s="54" t="str">
        <f>IF(OR(F23="",G23=""),"",IFERROR(F23*VLOOKUP(G23,Setup!$A$38:$E$52,5,FALSE),""))</f>
        <v/>
      </c>
      <c r="M23" s="54" t="str">
        <f>IF(L23="","",IFERROR(L23/VLOOKUP("EUR",Setup!$A$38:$E$52,5,FALSE),""))</f>
        <v/>
      </c>
      <c r="N23" s="54" t="str">
        <f>IF(L23="","",IFERROR(L23/VLOOKUP("USD",Setup!$A$38:$E$52,5,FALSE),""))</f>
        <v/>
      </c>
    </row>
    <row r="24" ht="24.0" customHeight="1">
      <c r="A24" s="78"/>
      <c r="B24" s="99"/>
      <c r="C24" s="78"/>
      <c r="D24" s="99"/>
      <c r="E24" s="78"/>
      <c r="F24" s="104"/>
      <c r="G24" s="99"/>
      <c r="H24" s="99"/>
      <c r="I24" s="65"/>
      <c r="J24" s="65"/>
      <c r="K24" s="78"/>
      <c r="L24" s="54" t="str">
        <f>IF(OR(F24="",G24=""),"",IFERROR(F24*VLOOKUP(G24,Setup!$A$38:$E$52,5,FALSE),""))</f>
        <v/>
      </c>
      <c r="M24" s="54" t="str">
        <f>IF(L24="","",IFERROR(L24/VLOOKUP("EUR",Setup!$A$38:$E$52,5,FALSE),""))</f>
        <v/>
      </c>
      <c r="N24" s="54" t="str">
        <f>IF(L24="","",IFERROR(L24/VLOOKUP("USD",Setup!$A$38:$E$52,5,FALSE),""))</f>
        <v/>
      </c>
    </row>
    <row r="25" ht="24.0" customHeight="1">
      <c r="A25" s="78"/>
      <c r="B25" s="99"/>
      <c r="C25" s="78"/>
      <c r="D25" s="99"/>
      <c r="E25" s="78"/>
      <c r="F25" s="104"/>
      <c r="G25" s="99"/>
      <c r="H25" s="99"/>
      <c r="I25" s="65"/>
      <c r="J25" s="65"/>
      <c r="K25" s="78"/>
      <c r="L25" s="54" t="str">
        <f>IF(OR(F25="",G25=""),"",IFERROR(F25*VLOOKUP(G25,Setup!$A$38:$E$52,5,FALSE),""))</f>
        <v/>
      </c>
      <c r="M25" s="54" t="str">
        <f>IF(L25="","",IFERROR(L25/VLOOKUP("EUR",Setup!$A$38:$E$52,5,FALSE),""))</f>
        <v/>
      </c>
      <c r="N25" s="54" t="str">
        <f>IF(L25="","",IFERROR(L25/VLOOKUP("USD",Setup!$A$38:$E$52,5,FALSE),""))</f>
        <v/>
      </c>
    </row>
    <row r="26" ht="24.0" customHeight="1">
      <c r="A26" s="78"/>
      <c r="B26" s="99"/>
      <c r="C26" s="78"/>
      <c r="D26" s="99"/>
      <c r="E26" s="78"/>
      <c r="F26" s="104"/>
      <c r="G26" s="99"/>
      <c r="H26" s="99"/>
      <c r="I26" s="65"/>
      <c r="J26" s="65"/>
      <c r="K26" s="78"/>
      <c r="L26" s="54" t="str">
        <f>IF(OR(F26="",G26=""),"",IFERROR(F26*VLOOKUP(G26,Setup!$A$38:$E$52,5,FALSE),""))</f>
        <v/>
      </c>
      <c r="M26" s="54" t="str">
        <f>IF(L26="","",IFERROR(L26/VLOOKUP("EUR",Setup!$A$38:$E$52,5,FALSE),""))</f>
        <v/>
      </c>
      <c r="N26" s="54" t="str">
        <f>IF(L26="","",IFERROR(L26/VLOOKUP("USD",Setup!$A$38:$E$52,5,FALSE),""))</f>
        <v/>
      </c>
    </row>
    <row r="27" ht="24.0" customHeight="1">
      <c r="A27" s="78"/>
      <c r="B27" s="99"/>
      <c r="C27" s="78"/>
      <c r="D27" s="99"/>
      <c r="E27" s="78"/>
      <c r="F27" s="104"/>
      <c r="G27" s="99"/>
      <c r="H27" s="99"/>
      <c r="I27" s="65"/>
      <c r="J27" s="65"/>
      <c r="K27" s="78"/>
      <c r="L27" s="54" t="str">
        <f>IF(OR(F27="",G27=""),"",IFERROR(F27*VLOOKUP(G27,Setup!$A$38:$E$52,5,FALSE),""))</f>
        <v/>
      </c>
      <c r="M27" s="54" t="str">
        <f>IF(L27="","",IFERROR(L27/VLOOKUP("EUR",Setup!$A$38:$E$52,5,FALSE),""))</f>
        <v/>
      </c>
      <c r="N27" s="54" t="str">
        <f>IF(L27="","",IFERROR(L27/VLOOKUP("USD",Setup!$A$38:$E$52,5,FALSE),""))</f>
        <v/>
      </c>
    </row>
    <row r="28" ht="24.0" customHeight="1">
      <c r="A28" s="78"/>
      <c r="B28" s="99"/>
      <c r="C28" s="78"/>
      <c r="D28" s="99"/>
      <c r="E28" s="78"/>
      <c r="F28" s="104"/>
      <c r="G28" s="99"/>
      <c r="H28" s="99"/>
      <c r="I28" s="65"/>
      <c r="J28" s="65"/>
      <c r="K28" s="78"/>
      <c r="L28" s="54" t="str">
        <f>IF(OR(F28="",G28=""),"",IFERROR(F28*VLOOKUP(G28,Setup!$A$38:$E$52,5,FALSE),""))</f>
        <v/>
      </c>
      <c r="M28" s="54" t="str">
        <f>IF(L28="","",IFERROR(L28/VLOOKUP("EUR",Setup!$A$38:$E$52,5,FALSE),""))</f>
        <v/>
      </c>
      <c r="N28" s="54" t="str">
        <f>IF(L28="","",IFERROR(L28/VLOOKUP("USD",Setup!$A$38:$E$52,5,FALSE),""))</f>
        <v/>
      </c>
    </row>
    <row r="29" ht="24.0" customHeight="1">
      <c r="A29" s="78"/>
      <c r="B29" s="99"/>
      <c r="C29" s="78"/>
      <c r="D29" s="99"/>
      <c r="E29" s="78"/>
      <c r="F29" s="104"/>
      <c r="G29" s="99"/>
      <c r="H29" s="99"/>
      <c r="I29" s="65"/>
      <c r="J29" s="65"/>
      <c r="K29" s="78"/>
      <c r="L29" s="54" t="str">
        <f>IF(OR(F29="",G29=""),"",IFERROR(F29*VLOOKUP(G29,Setup!$A$38:$E$52,5,FALSE),""))</f>
        <v/>
      </c>
      <c r="M29" s="54" t="str">
        <f>IF(L29="","",IFERROR(L29/VLOOKUP("EUR",Setup!$A$38:$E$52,5,FALSE),""))</f>
        <v/>
      </c>
      <c r="N29" s="54" t="str">
        <f>IF(L29="","",IFERROR(L29/VLOOKUP("USD",Setup!$A$38:$E$52,5,FALSE),""))</f>
        <v/>
      </c>
    </row>
    <row r="30" ht="24.0" customHeight="1">
      <c r="A30" s="78"/>
      <c r="B30" s="99"/>
      <c r="C30" s="78"/>
      <c r="D30" s="99"/>
      <c r="E30" s="78"/>
      <c r="F30" s="104"/>
      <c r="G30" s="99"/>
      <c r="H30" s="99"/>
      <c r="I30" s="65"/>
      <c r="J30" s="65"/>
      <c r="K30" s="78"/>
      <c r="L30" s="54" t="str">
        <f>IF(OR(F30="",G30=""),"",IFERROR(F30*VLOOKUP(G30,Setup!$A$38:$E$52,5,FALSE),""))</f>
        <v/>
      </c>
      <c r="M30" s="54" t="str">
        <f>IF(L30="","",IFERROR(L30/VLOOKUP("EUR",Setup!$A$38:$E$52,5,FALSE),""))</f>
        <v/>
      </c>
      <c r="N30" s="54" t="str">
        <f>IF(L30="","",IFERROR(L30/VLOOKUP("USD",Setup!$A$38:$E$52,5,FALSE),""))</f>
        <v/>
      </c>
    </row>
    <row r="31" ht="24.0" customHeight="1">
      <c r="A31" s="78"/>
      <c r="B31" s="99"/>
      <c r="C31" s="78"/>
      <c r="D31" s="99"/>
      <c r="E31" s="78"/>
      <c r="F31" s="104"/>
      <c r="G31" s="99"/>
      <c r="H31" s="99"/>
      <c r="I31" s="65"/>
      <c r="J31" s="65"/>
      <c r="K31" s="78"/>
      <c r="L31" s="54" t="str">
        <f>IF(OR(F31="",G31=""),"",IFERROR(F31*VLOOKUP(G31,Setup!$A$38:$E$52,5,FALSE),""))</f>
        <v/>
      </c>
      <c r="M31" s="54" t="str">
        <f>IF(L31="","",IFERROR(L31/VLOOKUP("EUR",Setup!$A$38:$E$52,5,FALSE),""))</f>
        <v/>
      </c>
      <c r="N31" s="54" t="str">
        <f>IF(L31="","",IFERROR(L31/VLOOKUP("USD",Setup!$A$38:$E$52,5,FALSE),""))</f>
        <v/>
      </c>
    </row>
    <row r="32" ht="24.0" customHeight="1">
      <c r="A32" s="78"/>
      <c r="B32" s="99"/>
      <c r="C32" s="78"/>
      <c r="D32" s="99"/>
      <c r="E32" s="78"/>
      <c r="F32" s="104"/>
      <c r="G32" s="99"/>
      <c r="H32" s="99"/>
      <c r="I32" s="65"/>
      <c r="J32" s="65"/>
      <c r="K32" s="78"/>
      <c r="L32" s="54" t="str">
        <f>IF(OR(F32="",G32=""),"",IFERROR(F32*VLOOKUP(G32,Setup!$A$38:$E$52,5,FALSE),""))</f>
        <v/>
      </c>
      <c r="M32" s="54" t="str">
        <f>IF(L32="","",IFERROR(L32/VLOOKUP("EUR",Setup!$A$38:$E$52,5,FALSE),""))</f>
        <v/>
      </c>
      <c r="N32" s="54" t="str">
        <f>IF(L32="","",IFERROR(L32/VLOOKUP("USD",Setup!$A$38:$E$52,5,FALSE),""))</f>
        <v/>
      </c>
    </row>
    <row r="33" ht="24.0" customHeight="1">
      <c r="A33" s="78"/>
      <c r="B33" s="99"/>
      <c r="C33" s="78"/>
      <c r="D33" s="99"/>
      <c r="E33" s="78"/>
      <c r="F33" s="104"/>
      <c r="G33" s="99"/>
      <c r="H33" s="99"/>
      <c r="I33" s="65"/>
      <c r="J33" s="65"/>
      <c r="K33" s="78"/>
      <c r="L33" s="54" t="str">
        <f>IF(OR(F33="",G33=""),"",IFERROR(F33*VLOOKUP(G33,Setup!$A$38:$E$52,5,FALSE),""))</f>
        <v/>
      </c>
      <c r="M33" s="54" t="str">
        <f>IF(L33="","",IFERROR(L33/VLOOKUP("EUR",Setup!$A$38:$E$52,5,FALSE),""))</f>
        <v/>
      </c>
      <c r="N33" s="54" t="str">
        <f>IF(L33="","",IFERROR(L33/VLOOKUP("USD",Setup!$A$38:$E$52,5,FALSE),""))</f>
        <v/>
      </c>
    </row>
    <row r="34" ht="24.0" customHeight="1">
      <c r="A34" s="78"/>
      <c r="B34" s="99"/>
      <c r="C34" s="78"/>
      <c r="D34" s="99"/>
      <c r="E34" s="78"/>
      <c r="F34" s="104"/>
      <c r="G34" s="99"/>
      <c r="H34" s="99"/>
      <c r="I34" s="65"/>
      <c r="J34" s="65"/>
      <c r="K34" s="78"/>
      <c r="L34" s="54" t="str">
        <f>IF(OR(F34="",G34=""),"",IFERROR(F34*VLOOKUP(G34,Setup!$A$38:$E$52,5,FALSE),""))</f>
        <v/>
      </c>
      <c r="M34" s="54" t="str">
        <f>IF(L34="","",IFERROR(L34/VLOOKUP("EUR",Setup!$A$38:$E$52,5,FALSE),""))</f>
        <v/>
      </c>
      <c r="N34" s="54" t="str">
        <f>IF(L34="","",IFERROR(L34/VLOOKUP("USD",Setup!$A$38:$E$52,5,FALSE),""))</f>
        <v/>
      </c>
    </row>
    <row r="35" ht="24.0" customHeight="1">
      <c r="A35" s="78"/>
      <c r="B35" s="99"/>
      <c r="C35" s="78"/>
      <c r="D35" s="99"/>
      <c r="E35" s="78"/>
      <c r="F35" s="104"/>
      <c r="G35" s="99"/>
      <c r="H35" s="99"/>
      <c r="I35" s="65"/>
      <c r="J35" s="65"/>
      <c r="K35" s="78"/>
      <c r="L35" s="54" t="str">
        <f>IF(OR(F35="",G35=""),"",IFERROR(F35*VLOOKUP(G35,Setup!$A$38:$E$52,5,FALSE),""))</f>
        <v/>
      </c>
      <c r="M35" s="54" t="str">
        <f>IF(L35="","",IFERROR(L35/VLOOKUP("EUR",Setup!$A$38:$E$52,5,FALSE),""))</f>
        <v/>
      </c>
      <c r="N35" s="54" t="str">
        <f>IF(L35="","",IFERROR(L35/VLOOKUP("USD",Setup!$A$38:$E$52,5,FALSE),""))</f>
        <v/>
      </c>
    </row>
    <row r="36" ht="24.0" customHeight="1">
      <c r="A36" s="78"/>
      <c r="B36" s="99"/>
      <c r="C36" s="78"/>
      <c r="D36" s="99"/>
      <c r="E36" s="78"/>
      <c r="F36" s="104"/>
      <c r="G36" s="99"/>
      <c r="H36" s="99"/>
      <c r="I36" s="65"/>
      <c r="J36" s="65"/>
      <c r="K36" s="78"/>
      <c r="L36" s="54" t="str">
        <f>IF(OR(F36="",G36=""),"",IFERROR(F36*VLOOKUP(G36,Setup!$A$38:$E$52,5,FALSE),""))</f>
        <v/>
      </c>
      <c r="M36" s="54" t="str">
        <f>IF(L36="","",IFERROR(L36/VLOOKUP("EUR",Setup!$A$38:$E$52,5,FALSE),""))</f>
        <v/>
      </c>
      <c r="N36" s="54" t="str">
        <f>IF(L36="","",IFERROR(L36/VLOOKUP("USD",Setup!$A$38:$E$52,5,FALSE),""))</f>
        <v/>
      </c>
    </row>
    <row r="37" ht="24.0" customHeight="1">
      <c r="A37" s="78"/>
      <c r="B37" s="99"/>
      <c r="C37" s="78"/>
      <c r="D37" s="99"/>
      <c r="E37" s="78"/>
      <c r="F37" s="104"/>
      <c r="G37" s="99"/>
      <c r="H37" s="99"/>
      <c r="I37" s="65"/>
      <c r="J37" s="65"/>
      <c r="K37" s="78"/>
      <c r="L37" s="54" t="str">
        <f>IF(OR(F37="",G37=""),"",IFERROR(F37*VLOOKUP(G37,Setup!$A$38:$E$52,5,FALSE),""))</f>
        <v/>
      </c>
      <c r="M37" s="54" t="str">
        <f>IF(L37="","",IFERROR(L37/VLOOKUP("EUR",Setup!$A$38:$E$52,5,FALSE),""))</f>
        <v/>
      </c>
      <c r="N37" s="54" t="str">
        <f>IF(L37="","",IFERROR(L37/VLOOKUP("USD",Setup!$A$38:$E$52,5,FALSE),""))</f>
        <v/>
      </c>
    </row>
    <row r="38" ht="24.0" customHeight="1">
      <c r="A38" s="78"/>
      <c r="B38" s="99"/>
      <c r="C38" s="78"/>
      <c r="D38" s="99"/>
      <c r="E38" s="78"/>
      <c r="F38" s="104"/>
      <c r="G38" s="99"/>
      <c r="H38" s="99"/>
      <c r="I38" s="65"/>
      <c r="J38" s="65"/>
      <c r="K38" s="78"/>
      <c r="L38" s="54" t="str">
        <f>IF(OR(F38="",G38=""),"",IFERROR(F38*VLOOKUP(G38,Setup!$A$38:$E$52,5,FALSE),""))</f>
        <v/>
      </c>
      <c r="M38" s="54" t="str">
        <f>IF(L38="","",IFERROR(L38/VLOOKUP("EUR",Setup!$A$38:$E$52,5,FALSE),""))</f>
        <v/>
      </c>
      <c r="N38" s="54" t="str">
        <f>IF(L38="","",IFERROR(L38/VLOOKUP("USD",Setup!$A$38:$E$52,5,FALSE),""))</f>
        <v/>
      </c>
    </row>
    <row r="39" ht="24.0" customHeight="1">
      <c r="A39" s="78"/>
      <c r="B39" s="99"/>
      <c r="C39" s="78"/>
      <c r="D39" s="99"/>
      <c r="E39" s="78"/>
      <c r="F39" s="104"/>
      <c r="G39" s="99"/>
      <c r="H39" s="99"/>
      <c r="I39" s="65"/>
      <c r="J39" s="65"/>
      <c r="K39" s="78"/>
      <c r="L39" s="54" t="str">
        <f>IF(OR(F39="",G39=""),"",IFERROR(F39*VLOOKUP(G39,Setup!$A$38:$E$52,5,FALSE),""))</f>
        <v/>
      </c>
      <c r="M39" s="54" t="str">
        <f>IF(L39="","",IFERROR(L39/VLOOKUP("EUR",Setup!$A$38:$E$52,5,FALSE),""))</f>
        <v/>
      </c>
      <c r="N39" s="54" t="str">
        <f>IF(L39="","",IFERROR(L39/VLOOKUP("USD",Setup!$A$38:$E$52,5,FALSE),""))</f>
        <v/>
      </c>
    </row>
    <row r="40" ht="24.0" customHeight="1">
      <c r="A40" s="78"/>
      <c r="B40" s="99"/>
      <c r="C40" s="78"/>
      <c r="D40" s="99"/>
      <c r="E40" s="78"/>
      <c r="F40" s="104"/>
      <c r="G40" s="99"/>
      <c r="H40" s="99"/>
      <c r="I40" s="65"/>
      <c r="J40" s="65"/>
      <c r="K40" s="78"/>
      <c r="L40" s="54" t="str">
        <f>IF(OR(F40="",G40=""),"",IFERROR(F40*VLOOKUP(G40,Setup!$A$38:$E$52,5,FALSE),""))</f>
        <v/>
      </c>
      <c r="M40" s="54" t="str">
        <f>IF(L40="","",IFERROR(L40/VLOOKUP("EUR",Setup!$A$38:$E$52,5,FALSE),""))</f>
        <v/>
      </c>
      <c r="N40" s="54" t="str">
        <f>IF(L40="","",IFERROR(L40/VLOOKUP("USD",Setup!$A$38:$E$52,5,FALSE),""))</f>
        <v/>
      </c>
    </row>
    <row r="41" ht="24.0" customHeight="1">
      <c r="A41" s="78"/>
      <c r="B41" s="99"/>
      <c r="C41" s="78"/>
      <c r="D41" s="99"/>
      <c r="E41" s="78"/>
      <c r="F41" s="104"/>
      <c r="G41" s="99"/>
      <c r="H41" s="99"/>
      <c r="I41" s="65"/>
      <c r="J41" s="65"/>
      <c r="K41" s="78"/>
      <c r="L41" s="54" t="str">
        <f>IF(OR(F41="",G41=""),"",IFERROR(F41*VLOOKUP(G41,Setup!$A$38:$E$52,5,FALSE),""))</f>
        <v/>
      </c>
      <c r="M41" s="54" t="str">
        <f>IF(L41="","",IFERROR(L41/VLOOKUP("EUR",Setup!$A$38:$E$52,5,FALSE),""))</f>
        <v/>
      </c>
      <c r="N41" s="54" t="str">
        <f>IF(L41="","",IFERROR(L41/VLOOKUP("USD",Setup!$A$38:$E$52,5,FALSE),""))</f>
        <v/>
      </c>
    </row>
    <row r="42" ht="24.0" customHeight="1">
      <c r="A42" s="78"/>
      <c r="B42" s="99"/>
      <c r="C42" s="78"/>
      <c r="D42" s="99"/>
      <c r="E42" s="78"/>
      <c r="F42" s="104"/>
      <c r="G42" s="99"/>
      <c r="H42" s="99"/>
      <c r="I42" s="65"/>
      <c r="J42" s="65"/>
      <c r="K42" s="78"/>
      <c r="L42" s="54" t="str">
        <f>IF(OR(F42="",G42=""),"",IFERROR(F42*VLOOKUP(G42,Setup!$A$38:$E$52,5,FALSE),""))</f>
        <v/>
      </c>
      <c r="M42" s="54" t="str">
        <f>IF(L42="","",IFERROR(L42/VLOOKUP("EUR",Setup!$A$38:$E$52,5,FALSE),""))</f>
        <v/>
      </c>
      <c r="N42" s="54" t="str">
        <f>IF(L42="","",IFERROR(L42/VLOOKUP("USD",Setup!$A$38:$E$52,5,FALSE),""))</f>
        <v/>
      </c>
    </row>
    <row r="43" ht="24.0" customHeight="1">
      <c r="A43" s="78"/>
      <c r="B43" s="99"/>
      <c r="C43" s="78"/>
      <c r="D43" s="99"/>
      <c r="E43" s="78"/>
      <c r="F43" s="104"/>
      <c r="G43" s="99"/>
      <c r="H43" s="99"/>
      <c r="I43" s="65"/>
      <c r="J43" s="65"/>
      <c r="K43" s="78"/>
      <c r="L43" s="54" t="str">
        <f>IF(OR(F43="",G43=""),"",IFERROR(F43*VLOOKUP(G43,Setup!$A$38:$E$52,5,FALSE),""))</f>
        <v/>
      </c>
      <c r="M43" s="54" t="str">
        <f>IF(L43="","",IFERROR(L43/VLOOKUP("EUR",Setup!$A$38:$E$52,5,FALSE),""))</f>
        <v/>
      </c>
      <c r="N43" s="54" t="str">
        <f>IF(L43="","",IFERROR(L43/VLOOKUP("USD",Setup!$A$38:$E$52,5,FALSE),""))</f>
        <v/>
      </c>
    </row>
    <row r="44" ht="24.0" customHeight="1">
      <c r="A44" s="78"/>
      <c r="B44" s="99"/>
      <c r="C44" s="78"/>
      <c r="D44" s="99"/>
      <c r="E44" s="78"/>
      <c r="F44" s="104"/>
      <c r="G44" s="99"/>
      <c r="H44" s="99"/>
      <c r="I44" s="65"/>
      <c r="J44" s="65"/>
      <c r="K44" s="78"/>
      <c r="L44" s="54" t="str">
        <f>IF(OR(F44="",G44=""),"",IFERROR(F44*VLOOKUP(G44,Setup!$A$38:$E$52,5,FALSE),""))</f>
        <v/>
      </c>
      <c r="M44" s="54" t="str">
        <f>IF(L44="","",IFERROR(L44/VLOOKUP("EUR",Setup!$A$38:$E$52,5,FALSE),""))</f>
        <v/>
      </c>
      <c r="N44" s="54" t="str">
        <f>IF(L44="","",IFERROR(L44/VLOOKUP("USD",Setup!$A$38:$E$52,5,FALSE),""))</f>
        <v/>
      </c>
    </row>
    <row r="45" ht="24.0" customHeight="1">
      <c r="A45" s="78"/>
      <c r="B45" s="99"/>
      <c r="C45" s="78"/>
      <c r="D45" s="99"/>
      <c r="E45" s="78"/>
      <c r="F45" s="104"/>
      <c r="G45" s="99"/>
      <c r="H45" s="99"/>
      <c r="I45" s="65"/>
      <c r="J45" s="65"/>
      <c r="K45" s="78"/>
      <c r="L45" s="54" t="str">
        <f>IF(OR(F45="",G45=""),"",IFERROR(F45*VLOOKUP(G45,Setup!$A$38:$E$52,5,FALSE),""))</f>
        <v/>
      </c>
      <c r="M45" s="54" t="str">
        <f>IF(L45="","",IFERROR(L45/VLOOKUP("EUR",Setup!$A$38:$E$52,5,FALSE),""))</f>
        <v/>
      </c>
      <c r="N45" s="54" t="str">
        <f>IF(L45="","",IFERROR(L45/VLOOKUP("USD",Setup!$A$38:$E$52,5,FALSE),""))</f>
        <v/>
      </c>
    </row>
    <row r="46" ht="24.0" customHeight="1">
      <c r="A46" s="78"/>
      <c r="B46" s="99"/>
      <c r="C46" s="78"/>
      <c r="D46" s="99"/>
      <c r="E46" s="78"/>
      <c r="F46" s="104"/>
      <c r="G46" s="99"/>
      <c r="H46" s="99"/>
      <c r="I46" s="65"/>
      <c r="J46" s="65"/>
      <c r="K46" s="78"/>
      <c r="L46" s="54" t="str">
        <f>IF(OR(F46="",G46=""),"",IFERROR(F46*VLOOKUP(G46,Setup!$A$38:$E$52,5,FALSE),""))</f>
        <v/>
      </c>
      <c r="M46" s="54" t="str">
        <f>IF(L46="","",IFERROR(L46/VLOOKUP("EUR",Setup!$A$38:$E$52,5,FALSE),""))</f>
        <v/>
      </c>
      <c r="N46" s="54" t="str">
        <f>IF(L46="","",IFERROR(L46/VLOOKUP("USD",Setup!$A$38:$E$52,5,FALSE),""))</f>
        <v/>
      </c>
    </row>
    <row r="47" ht="24.0" customHeight="1">
      <c r="A47" s="78"/>
      <c r="B47" s="99"/>
      <c r="C47" s="78"/>
      <c r="D47" s="99"/>
      <c r="E47" s="78"/>
      <c r="F47" s="104"/>
      <c r="G47" s="99"/>
      <c r="H47" s="99"/>
      <c r="I47" s="65"/>
      <c r="J47" s="65"/>
      <c r="K47" s="78"/>
      <c r="L47" s="54" t="str">
        <f>IF(OR(F47="",G47=""),"",IFERROR(F47*VLOOKUP(G47,Setup!$A$38:$E$52,5,FALSE),""))</f>
        <v/>
      </c>
      <c r="M47" s="54" t="str">
        <f>IF(L47="","",IFERROR(L47/VLOOKUP("EUR",Setup!$A$38:$E$52,5,FALSE),""))</f>
        <v/>
      </c>
      <c r="N47" s="54" t="str">
        <f>IF(L47="","",IFERROR(L47/VLOOKUP("USD",Setup!$A$38:$E$52,5,FALSE),""))</f>
        <v/>
      </c>
    </row>
    <row r="48" ht="24.0" customHeight="1">
      <c r="A48" s="78"/>
      <c r="B48" s="99"/>
      <c r="C48" s="78"/>
      <c r="D48" s="99"/>
      <c r="E48" s="78"/>
      <c r="F48" s="104"/>
      <c r="G48" s="99"/>
      <c r="H48" s="99"/>
      <c r="I48" s="65"/>
      <c r="J48" s="65"/>
      <c r="K48" s="78"/>
      <c r="L48" s="54" t="str">
        <f>IF(OR(F48="",G48=""),"",IFERROR(F48*VLOOKUP(G48,Setup!$A$38:$E$52,5,FALSE),""))</f>
        <v/>
      </c>
      <c r="M48" s="54" t="str">
        <f>IF(L48="","",IFERROR(L48/VLOOKUP("EUR",Setup!$A$38:$E$52,5,FALSE),""))</f>
        <v/>
      </c>
      <c r="N48" s="54" t="str">
        <f>IF(L48="","",IFERROR(L48/VLOOKUP("USD",Setup!$A$38:$E$52,5,FALSE),""))</f>
        <v/>
      </c>
    </row>
    <row r="49" ht="24.0" customHeight="1">
      <c r="A49" s="78"/>
      <c r="B49" s="99"/>
      <c r="C49" s="78"/>
      <c r="D49" s="99"/>
      <c r="E49" s="78"/>
      <c r="F49" s="104"/>
      <c r="G49" s="99"/>
      <c r="H49" s="99"/>
      <c r="I49" s="65"/>
      <c r="J49" s="65"/>
      <c r="K49" s="78"/>
      <c r="L49" s="54" t="str">
        <f>IF(OR(F49="",G49=""),"",IFERROR(F49*VLOOKUP(G49,Setup!$A$38:$E$52,5,FALSE),""))</f>
        <v/>
      </c>
      <c r="M49" s="54" t="str">
        <f>IF(L49="","",IFERROR(L49/VLOOKUP("EUR",Setup!$A$38:$E$52,5,FALSE),""))</f>
        <v/>
      </c>
      <c r="N49" s="54" t="str">
        <f>IF(L49="","",IFERROR(L49/VLOOKUP("USD",Setup!$A$38:$E$52,5,FALSE),""))</f>
        <v/>
      </c>
    </row>
    <row r="50" ht="24.0" customHeight="1">
      <c r="A50" s="78"/>
      <c r="B50" s="99"/>
      <c r="C50" s="78"/>
      <c r="D50" s="99"/>
      <c r="E50" s="78"/>
      <c r="F50" s="104"/>
      <c r="G50" s="99"/>
      <c r="H50" s="99"/>
      <c r="I50" s="65"/>
      <c r="J50" s="65"/>
      <c r="K50" s="78"/>
      <c r="L50" s="54" t="str">
        <f>IF(OR(F50="",G50=""),"",IFERROR(F50*VLOOKUP(G50,Setup!$A$38:$E$52,5,FALSE),""))</f>
        <v/>
      </c>
      <c r="M50" s="54" t="str">
        <f>IF(L50="","",IFERROR(L50/VLOOKUP("EUR",Setup!$A$38:$E$52,5,FALSE),""))</f>
        <v/>
      </c>
      <c r="N50" s="54" t="str">
        <f>IF(L50="","",IFERROR(L50/VLOOKUP("USD",Setup!$A$38:$E$52,5,FALSE),""))</f>
        <v/>
      </c>
    </row>
    <row r="51" ht="24.0" customHeight="1">
      <c r="A51" s="78"/>
      <c r="B51" s="99"/>
      <c r="C51" s="78"/>
      <c r="D51" s="99"/>
      <c r="E51" s="78"/>
      <c r="F51" s="104"/>
      <c r="G51" s="99"/>
      <c r="H51" s="99"/>
      <c r="I51" s="65"/>
      <c r="J51" s="65"/>
      <c r="K51" s="78"/>
      <c r="L51" s="54" t="str">
        <f>IF(OR(F51="",G51=""),"",IFERROR(F51*VLOOKUP(G51,Setup!$A$38:$E$52,5,FALSE),""))</f>
        <v/>
      </c>
      <c r="M51" s="54" t="str">
        <f>IF(L51="","",IFERROR(L51/VLOOKUP("EUR",Setup!$A$38:$E$52,5,FALSE),""))</f>
        <v/>
      </c>
      <c r="N51" s="54" t="str">
        <f>IF(L51="","",IFERROR(L51/VLOOKUP("USD",Setup!$A$38:$E$52,5,FALSE),""))</f>
        <v/>
      </c>
    </row>
    <row r="52" ht="24.0" customHeight="1">
      <c r="A52" s="78"/>
      <c r="B52" s="99"/>
      <c r="C52" s="78"/>
      <c r="D52" s="99"/>
      <c r="E52" s="78"/>
      <c r="F52" s="104"/>
      <c r="G52" s="99"/>
      <c r="H52" s="99"/>
      <c r="I52" s="65"/>
      <c r="J52" s="65"/>
      <c r="K52" s="78"/>
      <c r="L52" s="54" t="str">
        <f>IF(OR(F52="",G52=""),"",IFERROR(F52*VLOOKUP(G52,Setup!$A$38:$E$52,5,FALSE),""))</f>
        <v/>
      </c>
      <c r="M52" s="54" t="str">
        <f>IF(L52="","",IFERROR(L52/VLOOKUP("EUR",Setup!$A$38:$E$52,5,FALSE),""))</f>
        <v/>
      </c>
      <c r="N52" s="54" t="str">
        <f>IF(L52="","",IFERROR(L52/VLOOKUP("USD",Setup!$A$38:$E$52,5,FALSE),""))</f>
        <v/>
      </c>
    </row>
    <row r="53" ht="24.0" customHeight="1">
      <c r="A53" s="78"/>
      <c r="B53" s="99"/>
      <c r="C53" s="78"/>
      <c r="D53" s="99"/>
      <c r="E53" s="78"/>
      <c r="F53" s="104"/>
      <c r="G53" s="99"/>
      <c r="H53" s="99"/>
      <c r="I53" s="65"/>
      <c r="J53" s="65"/>
      <c r="K53" s="78"/>
      <c r="L53" s="54" t="str">
        <f>IF(OR(F53="",G53=""),"",IFERROR(F53*VLOOKUP(G53,Setup!$A$38:$E$52,5,FALSE),""))</f>
        <v/>
      </c>
      <c r="M53" s="54" t="str">
        <f>IF(L53="","",IFERROR(L53/VLOOKUP("EUR",Setup!$A$38:$E$52,5,FALSE),""))</f>
        <v/>
      </c>
      <c r="N53" s="54" t="str">
        <f>IF(L53="","",IFERROR(L53/VLOOKUP("USD",Setup!$A$38:$E$52,5,FALSE),""))</f>
        <v/>
      </c>
    </row>
    <row r="54" ht="24.0" customHeight="1">
      <c r="A54" s="78"/>
      <c r="B54" s="99"/>
      <c r="C54" s="78"/>
      <c r="D54" s="99"/>
      <c r="E54" s="78"/>
      <c r="F54" s="104"/>
      <c r="G54" s="99"/>
      <c r="H54" s="99"/>
      <c r="I54" s="65"/>
      <c r="J54" s="65"/>
      <c r="K54" s="78"/>
      <c r="L54" s="54" t="str">
        <f>IF(OR(F54="",G54=""),"",IFERROR(F54*VLOOKUP(G54,Setup!$A$38:$E$52,5,FALSE),""))</f>
        <v/>
      </c>
      <c r="M54" s="54" t="str">
        <f>IF(L54="","",IFERROR(L54/VLOOKUP("EUR",Setup!$A$38:$E$52,5,FALSE),""))</f>
        <v/>
      </c>
      <c r="N54" s="54" t="str">
        <f>IF(L54="","",IFERROR(L54/VLOOKUP("USD",Setup!$A$38:$E$52,5,FALSE),""))</f>
        <v/>
      </c>
    </row>
    <row r="55" ht="24.0" customHeight="1">
      <c r="A55" s="78"/>
      <c r="B55" s="99"/>
      <c r="C55" s="78"/>
      <c r="D55" s="99"/>
      <c r="E55" s="78"/>
      <c r="F55" s="104"/>
      <c r="G55" s="99"/>
      <c r="H55" s="99"/>
      <c r="I55" s="65"/>
      <c r="J55" s="65"/>
      <c r="K55" s="78"/>
      <c r="L55" s="54" t="str">
        <f>IF(OR(F55="",G55=""),"",IFERROR(F55*VLOOKUP(G55,Setup!$A$38:$E$52,5,FALSE),""))</f>
        <v/>
      </c>
      <c r="M55" s="54" t="str">
        <f>IF(L55="","",IFERROR(L55/VLOOKUP("EUR",Setup!$A$38:$E$52,5,FALSE),""))</f>
        <v/>
      </c>
      <c r="N55" s="54" t="str">
        <f>IF(L55="","",IFERROR(L55/VLOOKUP("USD",Setup!$A$38:$E$52,5,FALSE),""))</f>
        <v/>
      </c>
    </row>
    <row r="56" ht="24.0" customHeight="1">
      <c r="A56" s="78"/>
      <c r="B56" s="99"/>
      <c r="C56" s="78"/>
      <c r="D56" s="99"/>
      <c r="E56" s="78"/>
      <c r="F56" s="104"/>
      <c r="G56" s="99"/>
      <c r="H56" s="99"/>
      <c r="I56" s="65"/>
      <c r="J56" s="65"/>
      <c r="K56" s="78"/>
      <c r="L56" s="54" t="str">
        <f>IF(OR(F56="",G56=""),"",IFERROR(F56*VLOOKUP(G56,Setup!$A$38:$E$52,5,FALSE),""))</f>
        <v/>
      </c>
      <c r="M56" s="54" t="str">
        <f>IF(L56="","",IFERROR(L56/VLOOKUP("EUR",Setup!$A$38:$E$52,5,FALSE),""))</f>
        <v/>
      </c>
      <c r="N56" s="54" t="str">
        <f>IF(L56="","",IFERROR(L56/VLOOKUP("USD",Setup!$A$38:$E$52,5,FALSE),""))</f>
        <v/>
      </c>
    </row>
    <row r="57" ht="24.0" customHeight="1">
      <c r="A57" s="78"/>
      <c r="B57" s="99"/>
      <c r="C57" s="78"/>
      <c r="D57" s="99"/>
      <c r="E57" s="78"/>
      <c r="F57" s="104"/>
      <c r="G57" s="99"/>
      <c r="H57" s="99"/>
      <c r="I57" s="65"/>
      <c r="J57" s="65"/>
      <c r="K57" s="78"/>
      <c r="L57" s="54" t="str">
        <f>IF(OR(F57="",G57=""),"",IFERROR(F57*VLOOKUP(G57,Setup!$A$38:$E$52,5,FALSE),""))</f>
        <v/>
      </c>
      <c r="M57" s="54" t="str">
        <f>IF(L57="","",IFERROR(L57/VLOOKUP("EUR",Setup!$A$38:$E$52,5,FALSE),""))</f>
        <v/>
      </c>
      <c r="N57" s="54" t="str">
        <f>IF(L57="","",IFERROR(L57/VLOOKUP("USD",Setup!$A$38:$E$52,5,FALSE),""))</f>
        <v/>
      </c>
    </row>
    <row r="58" ht="24.0" customHeight="1">
      <c r="A58" s="78"/>
      <c r="B58" s="99"/>
      <c r="C58" s="78"/>
      <c r="D58" s="99"/>
      <c r="E58" s="78"/>
      <c r="F58" s="104"/>
      <c r="G58" s="99"/>
      <c r="H58" s="99"/>
      <c r="I58" s="65"/>
      <c r="J58" s="65"/>
      <c r="K58" s="78"/>
      <c r="L58" s="54" t="str">
        <f>IF(OR(F58="",G58=""),"",IFERROR(F58*VLOOKUP(G58,Setup!$A$38:$E$52,5,FALSE),""))</f>
        <v/>
      </c>
      <c r="M58" s="54" t="str">
        <f>IF(L58="","",IFERROR(L58/VLOOKUP("EUR",Setup!$A$38:$E$52,5,FALSE),""))</f>
        <v/>
      </c>
      <c r="N58" s="54" t="str">
        <f>IF(L58="","",IFERROR(L58/VLOOKUP("USD",Setup!$A$38:$E$52,5,FALSE),""))</f>
        <v/>
      </c>
    </row>
    <row r="59" ht="24.0" customHeight="1">
      <c r="A59" s="78"/>
      <c r="B59" s="99"/>
      <c r="C59" s="78"/>
      <c r="D59" s="99"/>
      <c r="E59" s="78"/>
      <c r="F59" s="104"/>
      <c r="G59" s="99"/>
      <c r="H59" s="99"/>
      <c r="I59" s="65"/>
      <c r="J59" s="65"/>
      <c r="K59" s="78"/>
      <c r="L59" s="54" t="str">
        <f>IF(OR(F59="",G59=""),"",IFERROR(F59*VLOOKUP(G59,Setup!$A$38:$E$52,5,FALSE),""))</f>
        <v/>
      </c>
      <c r="M59" s="54" t="str">
        <f>IF(L59="","",IFERROR(L59/VLOOKUP("EUR",Setup!$A$38:$E$52,5,FALSE),""))</f>
        <v/>
      </c>
      <c r="N59" s="54" t="str">
        <f>IF(L59="","",IFERROR(L59/VLOOKUP("USD",Setup!$A$38:$E$52,5,FALSE),""))</f>
        <v/>
      </c>
    </row>
    <row r="60" ht="24.0" customHeight="1">
      <c r="A60" s="78"/>
      <c r="B60" s="99"/>
      <c r="C60" s="78"/>
      <c r="D60" s="99"/>
      <c r="E60" s="78"/>
      <c r="F60" s="104"/>
      <c r="G60" s="99"/>
      <c r="H60" s="99"/>
      <c r="I60" s="65"/>
      <c r="J60" s="65"/>
      <c r="K60" s="78"/>
      <c r="L60" s="54" t="str">
        <f>IF(OR(F60="",G60=""),"",IFERROR(F60*VLOOKUP(G60,Setup!$A$38:$E$52,5,FALSE),""))</f>
        <v/>
      </c>
      <c r="M60" s="54" t="str">
        <f>IF(L60="","",IFERROR(L60/VLOOKUP("EUR",Setup!$A$38:$E$52,5,FALSE),""))</f>
        <v/>
      </c>
      <c r="N60" s="54" t="str">
        <f>IF(L60="","",IFERROR(L60/VLOOKUP("USD",Setup!$A$38:$E$52,5,FALSE),""))</f>
        <v/>
      </c>
    </row>
    <row r="61" ht="24.0" customHeight="1">
      <c r="A61" s="78"/>
      <c r="B61" s="99"/>
      <c r="C61" s="78"/>
      <c r="D61" s="99"/>
      <c r="E61" s="78"/>
      <c r="F61" s="104"/>
      <c r="G61" s="99"/>
      <c r="H61" s="99"/>
      <c r="I61" s="65"/>
      <c r="J61" s="65"/>
      <c r="K61" s="78"/>
      <c r="L61" s="54" t="str">
        <f>IF(OR(F61="",G61=""),"",IFERROR(F61*VLOOKUP(G61,Setup!$A$38:$E$52,5,FALSE),""))</f>
        <v/>
      </c>
      <c r="M61" s="54" t="str">
        <f>IF(L61="","",IFERROR(L61/VLOOKUP("EUR",Setup!$A$38:$E$52,5,FALSE),""))</f>
        <v/>
      </c>
      <c r="N61" s="54" t="str">
        <f>IF(L61="","",IFERROR(L61/VLOOKUP("USD",Setup!$A$38:$E$52,5,FALSE),""))</f>
        <v/>
      </c>
    </row>
    <row r="62" ht="24.0" customHeight="1">
      <c r="A62" s="78"/>
      <c r="B62" s="99"/>
      <c r="C62" s="78"/>
      <c r="D62" s="99"/>
      <c r="E62" s="78"/>
      <c r="F62" s="104"/>
      <c r="G62" s="99"/>
      <c r="H62" s="99"/>
      <c r="I62" s="65"/>
      <c r="J62" s="65"/>
      <c r="K62" s="78"/>
      <c r="L62" s="54" t="str">
        <f>IF(OR(F62="",G62=""),"",IFERROR(F62*VLOOKUP(G62,Setup!$A$38:$E$52,5,FALSE),""))</f>
        <v/>
      </c>
      <c r="M62" s="54" t="str">
        <f>IF(L62="","",IFERROR(L62/VLOOKUP("EUR",Setup!$A$38:$E$52,5,FALSE),""))</f>
        <v/>
      </c>
      <c r="N62" s="54" t="str">
        <f>IF(L62="","",IFERROR(L62/VLOOKUP("USD",Setup!$A$38:$E$52,5,FALSE),""))</f>
        <v/>
      </c>
    </row>
    <row r="63" ht="24.0" customHeight="1">
      <c r="A63" s="78"/>
      <c r="B63" s="99"/>
      <c r="C63" s="78"/>
      <c r="D63" s="99"/>
      <c r="E63" s="78"/>
      <c r="F63" s="104"/>
      <c r="G63" s="99"/>
      <c r="H63" s="99"/>
      <c r="I63" s="65"/>
      <c r="J63" s="65"/>
      <c r="K63" s="78"/>
      <c r="L63" s="54" t="str">
        <f>IF(OR(F63="",G63=""),"",IFERROR(F63*VLOOKUP(G63,Setup!$A$38:$E$52,5,FALSE),""))</f>
        <v/>
      </c>
      <c r="M63" s="54" t="str">
        <f>IF(L63="","",IFERROR(L63/VLOOKUP("EUR",Setup!$A$38:$E$52,5,FALSE),""))</f>
        <v/>
      </c>
      <c r="N63" s="54" t="str">
        <f>IF(L63="","",IFERROR(L63/VLOOKUP("USD",Setup!$A$38:$E$52,5,FALSE),""))</f>
        <v/>
      </c>
    </row>
    <row r="64" ht="24.0" customHeight="1">
      <c r="A64" s="78"/>
      <c r="B64" s="99"/>
      <c r="C64" s="78"/>
      <c r="D64" s="99"/>
      <c r="E64" s="78"/>
      <c r="F64" s="104"/>
      <c r="G64" s="99"/>
      <c r="H64" s="99"/>
      <c r="I64" s="65"/>
      <c r="J64" s="65"/>
      <c r="K64" s="78"/>
      <c r="L64" s="54" t="str">
        <f>IF(OR(F64="",G64=""),"",IFERROR(F64*VLOOKUP(G64,Setup!$A$38:$E$52,5,FALSE),""))</f>
        <v/>
      </c>
      <c r="M64" s="54" t="str">
        <f>IF(L64="","",IFERROR(L64/VLOOKUP("EUR",Setup!$A$38:$E$52,5,FALSE),""))</f>
        <v/>
      </c>
      <c r="N64" s="54" t="str">
        <f>IF(L64="","",IFERROR(L64/VLOOKUP("USD",Setup!$A$38:$E$52,5,FALSE),""))</f>
        <v/>
      </c>
    </row>
    <row r="65" ht="24.0" customHeight="1">
      <c r="A65" s="78"/>
      <c r="B65" s="99"/>
      <c r="C65" s="78"/>
      <c r="D65" s="99"/>
      <c r="E65" s="78"/>
      <c r="F65" s="104"/>
      <c r="G65" s="99"/>
      <c r="H65" s="99"/>
      <c r="I65" s="65"/>
      <c r="J65" s="65"/>
      <c r="K65" s="78"/>
      <c r="L65" s="54" t="str">
        <f>IF(OR(F65="",G65=""),"",IFERROR(F65*VLOOKUP(G65,Setup!$A$38:$E$52,5,FALSE),""))</f>
        <v/>
      </c>
      <c r="M65" s="54" t="str">
        <f>IF(L65="","",IFERROR(L65/VLOOKUP("EUR",Setup!$A$38:$E$52,5,FALSE),""))</f>
        <v/>
      </c>
      <c r="N65" s="54" t="str">
        <f>IF(L65="","",IFERROR(L65/VLOOKUP("USD",Setup!$A$38:$E$52,5,FALSE),""))</f>
        <v/>
      </c>
    </row>
    <row r="66" ht="24.0" customHeight="1">
      <c r="A66" s="78"/>
      <c r="B66" s="99"/>
      <c r="C66" s="78"/>
      <c r="D66" s="99"/>
      <c r="E66" s="78"/>
      <c r="F66" s="104"/>
      <c r="G66" s="99"/>
      <c r="H66" s="99"/>
      <c r="I66" s="65"/>
      <c r="J66" s="65"/>
      <c r="K66" s="78"/>
      <c r="L66" s="54" t="str">
        <f>IF(OR(F66="",G66=""),"",IFERROR(F66*VLOOKUP(G66,Setup!$A$38:$E$52,5,FALSE),""))</f>
        <v/>
      </c>
      <c r="M66" s="54" t="str">
        <f>IF(L66="","",IFERROR(L66/VLOOKUP("EUR",Setup!$A$38:$E$52,5,FALSE),""))</f>
        <v/>
      </c>
      <c r="N66" s="54" t="str">
        <f>IF(L66="","",IFERROR(L66/VLOOKUP("USD",Setup!$A$38:$E$52,5,FALSE),""))</f>
        <v/>
      </c>
    </row>
    <row r="67" ht="24.0" customHeight="1">
      <c r="A67" s="78"/>
      <c r="B67" s="99"/>
      <c r="C67" s="78"/>
      <c r="D67" s="99"/>
      <c r="E67" s="78"/>
      <c r="F67" s="104"/>
      <c r="G67" s="99"/>
      <c r="H67" s="99"/>
      <c r="I67" s="65"/>
      <c r="J67" s="65"/>
      <c r="K67" s="78"/>
      <c r="L67" s="54" t="str">
        <f>IF(OR(F67="",G67=""),"",IFERROR(F67*VLOOKUP(G67,Setup!$A$38:$E$52,5,FALSE),""))</f>
        <v/>
      </c>
      <c r="M67" s="54" t="str">
        <f>IF(L67="","",IFERROR(L67/VLOOKUP("EUR",Setup!$A$38:$E$52,5,FALSE),""))</f>
        <v/>
      </c>
      <c r="N67" s="54" t="str">
        <f>IF(L67="","",IFERROR(L67/VLOOKUP("USD",Setup!$A$38:$E$52,5,FALSE),""))</f>
        <v/>
      </c>
    </row>
    <row r="68" ht="24.0" customHeight="1">
      <c r="A68" s="78"/>
      <c r="B68" s="99"/>
      <c r="C68" s="78"/>
      <c r="D68" s="99"/>
      <c r="E68" s="78"/>
      <c r="F68" s="104"/>
      <c r="G68" s="99"/>
      <c r="H68" s="99"/>
      <c r="I68" s="65"/>
      <c r="J68" s="65"/>
      <c r="K68" s="78"/>
      <c r="L68" s="54" t="str">
        <f>IF(OR(F68="",G68=""),"",IFERROR(F68*VLOOKUP(G68,Setup!$A$38:$E$52,5,FALSE),""))</f>
        <v/>
      </c>
      <c r="M68" s="54" t="str">
        <f>IF(L68="","",IFERROR(L68/VLOOKUP("EUR",Setup!$A$38:$E$52,5,FALSE),""))</f>
        <v/>
      </c>
      <c r="N68" s="54" t="str">
        <f>IF(L68="","",IFERROR(L68/VLOOKUP("USD",Setup!$A$38:$E$52,5,FALSE),""))</f>
        <v/>
      </c>
    </row>
    <row r="69" ht="24.0" customHeight="1">
      <c r="A69" s="78"/>
      <c r="B69" s="99"/>
      <c r="C69" s="78"/>
      <c r="D69" s="99"/>
      <c r="E69" s="78"/>
      <c r="F69" s="104"/>
      <c r="G69" s="99"/>
      <c r="H69" s="99"/>
      <c r="I69" s="65"/>
      <c r="J69" s="65"/>
      <c r="K69" s="78"/>
      <c r="L69" s="54" t="str">
        <f>IF(OR(F69="",G69=""),"",IFERROR(F69*VLOOKUP(G69,Setup!$A$38:$E$52,5,FALSE),""))</f>
        <v/>
      </c>
      <c r="M69" s="54" t="str">
        <f>IF(L69="","",IFERROR(L69/VLOOKUP("EUR",Setup!$A$38:$E$52,5,FALSE),""))</f>
        <v/>
      </c>
      <c r="N69" s="54" t="str">
        <f>IF(L69="","",IFERROR(L69/VLOOKUP("USD",Setup!$A$38:$E$52,5,FALSE),""))</f>
        <v/>
      </c>
    </row>
    <row r="70" ht="24.0" customHeight="1">
      <c r="A70" s="78"/>
      <c r="B70" s="99"/>
      <c r="C70" s="78"/>
      <c r="D70" s="99"/>
      <c r="E70" s="78"/>
      <c r="F70" s="104"/>
      <c r="G70" s="99"/>
      <c r="H70" s="99"/>
      <c r="I70" s="65"/>
      <c r="J70" s="65"/>
      <c r="K70" s="78"/>
      <c r="L70" s="54" t="str">
        <f>IF(OR(F70="",G70=""),"",IFERROR(F70*VLOOKUP(G70,Setup!$A$38:$E$52,5,FALSE),""))</f>
        <v/>
      </c>
      <c r="M70" s="54" t="str">
        <f>IF(L70="","",IFERROR(L70/VLOOKUP("EUR",Setup!$A$38:$E$52,5,FALSE),""))</f>
        <v/>
      </c>
      <c r="N70" s="54" t="str">
        <f>IF(L70="","",IFERROR(L70/VLOOKUP("USD",Setup!$A$38:$E$52,5,FALSE),""))</f>
        <v/>
      </c>
    </row>
    <row r="71" ht="24.0" customHeight="1">
      <c r="A71" s="78"/>
      <c r="B71" s="99"/>
      <c r="C71" s="78"/>
      <c r="D71" s="99"/>
      <c r="E71" s="78"/>
      <c r="F71" s="104"/>
      <c r="G71" s="99"/>
      <c r="H71" s="99"/>
      <c r="I71" s="65"/>
      <c r="J71" s="65"/>
      <c r="K71" s="78"/>
      <c r="L71" s="54" t="str">
        <f>IF(OR(F71="",G71=""),"",IFERROR(F71*VLOOKUP(G71,Setup!$A$38:$E$52,5,FALSE),""))</f>
        <v/>
      </c>
      <c r="M71" s="54" t="str">
        <f>IF(L71="","",IFERROR(L71/VLOOKUP("EUR",Setup!$A$38:$E$52,5,FALSE),""))</f>
        <v/>
      </c>
      <c r="N71" s="54" t="str">
        <f>IF(L71="","",IFERROR(L71/VLOOKUP("USD",Setup!$A$38:$E$52,5,FALSE),""))</f>
        <v/>
      </c>
    </row>
    <row r="72" ht="24.0" customHeight="1">
      <c r="A72" s="78"/>
      <c r="B72" s="99"/>
      <c r="C72" s="78"/>
      <c r="D72" s="99"/>
      <c r="E72" s="78"/>
      <c r="F72" s="104"/>
      <c r="G72" s="99"/>
      <c r="H72" s="99"/>
      <c r="I72" s="65"/>
      <c r="J72" s="65"/>
      <c r="K72" s="78"/>
      <c r="L72" s="54" t="str">
        <f>IF(OR(F72="",G72=""),"",IFERROR(F72*VLOOKUP(G72,Setup!$A$38:$E$52,5,FALSE),""))</f>
        <v/>
      </c>
      <c r="M72" s="54" t="str">
        <f>IF(L72="","",IFERROR(L72/VLOOKUP("EUR",Setup!$A$38:$E$52,5,FALSE),""))</f>
        <v/>
      </c>
      <c r="N72" s="54" t="str">
        <f>IF(L72="","",IFERROR(L72/VLOOKUP("USD",Setup!$A$38:$E$52,5,FALSE),""))</f>
        <v/>
      </c>
    </row>
    <row r="73" ht="24.0" customHeight="1">
      <c r="A73" s="78"/>
      <c r="B73" s="99"/>
      <c r="C73" s="78"/>
      <c r="D73" s="99"/>
      <c r="E73" s="78"/>
      <c r="F73" s="104"/>
      <c r="G73" s="99"/>
      <c r="H73" s="99"/>
      <c r="I73" s="65"/>
      <c r="J73" s="65"/>
      <c r="K73" s="78"/>
      <c r="L73" s="54" t="str">
        <f>IF(OR(F73="",G73=""),"",IFERROR(F73*VLOOKUP(G73,Setup!$A$38:$E$52,5,FALSE),""))</f>
        <v/>
      </c>
      <c r="M73" s="54" t="str">
        <f>IF(L73="","",IFERROR(L73/VLOOKUP("EUR",Setup!$A$38:$E$52,5,FALSE),""))</f>
        <v/>
      </c>
      <c r="N73" s="54" t="str">
        <f>IF(L73="","",IFERROR(L73/VLOOKUP("USD",Setup!$A$38:$E$52,5,FALSE),""))</f>
        <v/>
      </c>
    </row>
    <row r="74" ht="24.0" customHeight="1">
      <c r="A74" s="78"/>
      <c r="B74" s="99"/>
      <c r="C74" s="78"/>
      <c r="D74" s="99"/>
      <c r="E74" s="78"/>
      <c r="F74" s="104"/>
      <c r="G74" s="99"/>
      <c r="H74" s="99"/>
      <c r="I74" s="65"/>
      <c r="J74" s="65"/>
      <c r="K74" s="78"/>
      <c r="L74" s="54" t="str">
        <f>IF(OR(F74="",G74=""),"",IFERROR(F74*VLOOKUP(G74,Setup!$A$38:$E$52,5,FALSE),""))</f>
        <v/>
      </c>
      <c r="M74" s="54" t="str">
        <f>IF(L74="","",IFERROR(L74/VLOOKUP("EUR",Setup!$A$38:$E$52,5,FALSE),""))</f>
        <v/>
      </c>
      <c r="N74" s="54" t="str">
        <f>IF(L74="","",IFERROR(L74/VLOOKUP("USD",Setup!$A$38:$E$52,5,FALSE),""))</f>
        <v/>
      </c>
    </row>
    <row r="75" ht="24.0" customHeight="1">
      <c r="A75" s="78"/>
      <c r="B75" s="99"/>
      <c r="C75" s="78"/>
      <c r="D75" s="99"/>
      <c r="E75" s="78"/>
      <c r="F75" s="104"/>
      <c r="G75" s="99"/>
      <c r="H75" s="99"/>
      <c r="I75" s="65"/>
      <c r="J75" s="65"/>
      <c r="K75" s="78"/>
      <c r="L75" s="54" t="str">
        <f>IF(OR(F75="",G75=""),"",IFERROR(F75*VLOOKUP(G75,Setup!$A$38:$E$52,5,FALSE),""))</f>
        <v/>
      </c>
      <c r="M75" s="54" t="str">
        <f>IF(L75="","",IFERROR(L75/VLOOKUP("EUR",Setup!$A$38:$E$52,5,FALSE),""))</f>
        <v/>
      </c>
      <c r="N75" s="54" t="str">
        <f>IF(L75="","",IFERROR(L75/VLOOKUP("USD",Setup!$A$38:$E$52,5,FALSE),""))</f>
        <v/>
      </c>
    </row>
    <row r="76" ht="24.0" customHeight="1">
      <c r="A76" s="78"/>
      <c r="B76" s="99"/>
      <c r="C76" s="78"/>
      <c r="D76" s="99"/>
      <c r="E76" s="78"/>
      <c r="F76" s="104"/>
      <c r="G76" s="99"/>
      <c r="H76" s="99"/>
      <c r="I76" s="65"/>
      <c r="J76" s="65"/>
      <c r="K76" s="78"/>
      <c r="L76" s="54" t="str">
        <f>IF(OR(F76="",G76=""),"",IFERROR(F76*VLOOKUP(G76,Setup!$A$38:$E$52,5,FALSE),""))</f>
        <v/>
      </c>
      <c r="M76" s="54" t="str">
        <f>IF(L76="","",IFERROR(L76/VLOOKUP("EUR",Setup!$A$38:$E$52,5,FALSE),""))</f>
        <v/>
      </c>
      <c r="N76" s="54" t="str">
        <f>IF(L76="","",IFERROR(L76/VLOOKUP("USD",Setup!$A$38:$E$52,5,FALSE),""))</f>
        <v/>
      </c>
    </row>
    <row r="77" ht="24.0" customHeight="1">
      <c r="A77" s="78"/>
      <c r="B77" s="99"/>
      <c r="C77" s="78"/>
      <c r="D77" s="99"/>
      <c r="E77" s="78"/>
      <c r="F77" s="104"/>
      <c r="G77" s="99"/>
      <c r="H77" s="99"/>
      <c r="I77" s="65"/>
      <c r="J77" s="65"/>
      <c r="K77" s="78"/>
      <c r="L77" s="54" t="str">
        <f>IF(OR(F77="",G77=""),"",IFERROR(F77*VLOOKUP(G77,Setup!$A$38:$E$52,5,FALSE),""))</f>
        <v/>
      </c>
      <c r="M77" s="54" t="str">
        <f>IF(L77="","",IFERROR(L77/VLOOKUP("EUR",Setup!$A$38:$E$52,5,FALSE),""))</f>
        <v/>
      </c>
      <c r="N77" s="54" t="str">
        <f>IF(L77="","",IFERROR(L77/VLOOKUP("USD",Setup!$A$38:$E$52,5,FALSE),""))</f>
        <v/>
      </c>
    </row>
    <row r="78" ht="24.0" customHeight="1">
      <c r="A78" s="78"/>
      <c r="B78" s="99"/>
      <c r="C78" s="78"/>
      <c r="D78" s="99"/>
      <c r="E78" s="78"/>
      <c r="F78" s="104"/>
      <c r="G78" s="99"/>
      <c r="H78" s="99"/>
      <c r="I78" s="65"/>
      <c r="J78" s="65"/>
      <c r="K78" s="78"/>
      <c r="L78" s="54" t="str">
        <f>IF(OR(F78="",G78=""),"",IFERROR(F78*VLOOKUP(G78,Setup!$A$38:$E$52,5,FALSE),""))</f>
        <v/>
      </c>
      <c r="M78" s="54" t="str">
        <f>IF(L78="","",IFERROR(L78/VLOOKUP("EUR",Setup!$A$38:$E$52,5,FALSE),""))</f>
        <v/>
      </c>
      <c r="N78" s="54" t="str">
        <f>IF(L78="","",IFERROR(L78/VLOOKUP("USD",Setup!$A$38:$E$52,5,FALSE),""))</f>
        <v/>
      </c>
    </row>
    <row r="79" ht="24.0" customHeight="1">
      <c r="A79" s="78"/>
      <c r="B79" s="99"/>
      <c r="C79" s="78"/>
      <c r="D79" s="99"/>
      <c r="E79" s="78"/>
      <c r="F79" s="104"/>
      <c r="G79" s="99"/>
      <c r="H79" s="99"/>
      <c r="I79" s="65"/>
      <c r="J79" s="65"/>
      <c r="K79" s="78"/>
      <c r="L79" s="54" t="str">
        <f>IF(OR(F79="",G79=""),"",IFERROR(F79*VLOOKUP(G79,Setup!$A$38:$E$52,5,FALSE),""))</f>
        <v/>
      </c>
      <c r="M79" s="54" t="str">
        <f>IF(L79="","",IFERROR(L79/VLOOKUP("EUR",Setup!$A$38:$E$52,5,FALSE),""))</f>
        <v/>
      </c>
      <c r="N79" s="54" t="str">
        <f>IF(L79="","",IFERROR(L79/VLOOKUP("USD",Setup!$A$38:$E$52,5,FALSE),""))</f>
        <v/>
      </c>
    </row>
    <row r="80" ht="24.0" customHeight="1">
      <c r="A80" s="78"/>
      <c r="B80" s="99"/>
      <c r="C80" s="78"/>
      <c r="D80" s="99"/>
      <c r="E80" s="78"/>
      <c r="F80" s="104"/>
      <c r="G80" s="99"/>
      <c r="H80" s="99"/>
      <c r="I80" s="65"/>
      <c r="J80" s="65"/>
      <c r="K80" s="78"/>
      <c r="L80" s="54" t="str">
        <f>IF(OR(F80="",G80=""),"",IFERROR(F80*VLOOKUP(G80,Setup!$A$38:$E$52,5,FALSE),""))</f>
        <v/>
      </c>
      <c r="M80" s="54" t="str">
        <f>IF(L80="","",IFERROR(L80/VLOOKUP("EUR",Setup!$A$38:$E$52,5,FALSE),""))</f>
        <v/>
      </c>
      <c r="N80" s="54" t="str">
        <f>IF(L80="","",IFERROR(L80/VLOOKUP("USD",Setup!$A$38:$E$52,5,FALSE),""))</f>
        <v/>
      </c>
    </row>
    <row r="81" ht="24.0" customHeight="1">
      <c r="A81" s="78"/>
      <c r="B81" s="99"/>
      <c r="C81" s="78"/>
      <c r="D81" s="99"/>
      <c r="E81" s="78"/>
      <c r="F81" s="104"/>
      <c r="G81" s="99"/>
      <c r="H81" s="99"/>
      <c r="I81" s="65"/>
      <c r="J81" s="65"/>
      <c r="K81" s="78"/>
      <c r="L81" s="54" t="str">
        <f>IF(OR(F81="",G81=""),"",IFERROR(F81*VLOOKUP(G81,Setup!$A$38:$E$52,5,FALSE),""))</f>
        <v/>
      </c>
      <c r="M81" s="54" t="str">
        <f>IF(L81="","",IFERROR(L81/VLOOKUP("EUR",Setup!$A$38:$E$52,5,FALSE),""))</f>
        <v/>
      </c>
      <c r="N81" s="54" t="str">
        <f>IF(L81="","",IFERROR(L81/VLOOKUP("USD",Setup!$A$38:$E$52,5,FALSE),""))</f>
        <v/>
      </c>
    </row>
    <row r="82" ht="24.0" customHeight="1">
      <c r="A82" s="78"/>
      <c r="B82" s="99"/>
      <c r="C82" s="78"/>
      <c r="D82" s="99"/>
      <c r="E82" s="78"/>
      <c r="F82" s="104"/>
      <c r="G82" s="99"/>
      <c r="H82" s="99"/>
      <c r="I82" s="65"/>
      <c r="J82" s="65"/>
      <c r="K82" s="78"/>
      <c r="L82" s="54" t="str">
        <f>IF(OR(F82="",G82=""),"",IFERROR(F82*VLOOKUP(G82,Setup!$A$38:$E$52,5,FALSE),""))</f>
        <v/>
      </c>
      <c r="M82" s="54" t="str">
        <f>IF(L82="","",IFERROR(L82/VLOOKUP("EUR",Setup!$A$38:$E$52,5,FALSE),""))</f>
        <v/>
      </c>
      <c r="N82" s="54" t="str">
        <f>IF(L82="","",IFERROR(L82/VLOOKUP("USD",Setup!$A$38:$E$52,5,FALSE),""))</f>
        <v/>
      </c>
    </row>
    <row r="83" ht="24.0" customHeight="1">
      <c r="A83" s="78"/>
      <c r="B83" s="99"/>
      <c r="C83" s="78"/>
      <c r="D83" s="99"/>
      <c r="E83" s="78"/>
      <c r="F83" s="104"/>
      <c r="G83" s="99"/>
      <c r="H83" s="99"/>
      <c r="I83" s="65"/>
      <c r="J83" s="65"/>
      <c r="K83" s="78"/>
      <c r="L83" s="54" t="str">
        <f>IF(OR(F83="",G83=""),"",IFERROR(F83*VLOOKUP(G83,Setup!$A$38:$E$52,5,FALSE),""))</f>
        <v/>
      </c>
      <c r="M83" s="54" t="str">
        <f>IF(L83="","",IFERROR(L83/VLOOKUP("EUR",Setup!$A$38:$E$52,5,FALSE),""))</f>
        <v/>
      </c>
      <c r="N83" s="54" t="str">
        <f>IF(L83="","",IFERROR(L83/VLOOKUP("USD",Setup!$A$38:$E$52,5,FALSE),""))</f>
        <v/>
      </c>
    </row>
    <row r="84" ht="24.0" customHeight="1">
      <c r="A84" s="78"/>
      <c r="B84" s="99"/>
      <c r="C84" s="78"/>
      <c r="D84" s="99"/>
      <c r="E84" s="78"/>
      <c r="F84" s="104"/>
      <c r="G84" s="99"/>
      <c r="H84" s="99"/>
      <c r="I84" s="65"/>
      <c r="J84" s="65"/>
      <c r="K84" s="78"/>
      <c r="L84" s="54" t="str">
        <f>IF(OR(F84="",G84=""),"",IFERROR(F84*VLOOKUP(G84,Setup!$A$38:$E$52,5,FALSE),""))</f>
        <v/>
      </c>
      <c r="M84" s="54" t="str">
        <f>IF(L84="","",IFERROR(L84/VLOOKUP("EUR",Setup!$A$38:$E$52,5,FALSE),""))</f>
        <v/>
      </c>
      <c r="N84" s="54" t="str">
        <f>IF(L84="","",IFERROR(L84/VLOOKUP("USD",Setup!$A$38:$E$52,5,FALSE),""))</f>
        <v/>
      </c>
    </row>
    <row r="85" ht="24.0" customHeight="1">
      <c r="A85" s="78"/>
      <c r="B85" s="99"/>
      <c r="C85" s="78"/>
      <c r="D85" s="99"/>
      <c r="E85" s="78"/>
      <c r="F85" s="104"/>
      <c r="G85" s="99"/>
      <c r="H85" s="99"/>
      <c r="I85" s="65"/>
      <c r="J85" s="65"/>
      <c r="K85" s="78"/>
      <c r="L85" s="54" t="str">
        <f>IF(OR(F85="",G85=""),"",IFERROR(F85*VLOOKUP(G85,Setup!$A$38:$E$52,5,FALSE),""))</f>
        <v/>
      </c>
      <c r="M85" s="54" t="str">
        <f>IF(L85="","",IFERROR(L85/VLOOKUP("EUR",Setup!$A$38:$E$52,5,FALSE),""))</f>
        <v/>
      </c>
      <c r="N85" s="54" t="str">
        <f>IF(L85="","",IFERROR(L85/VLOOKUP("USD",Setup!$A$38:$E$52,5,FALSE),""))</f>
        <v/>
      </c>
    </row>
    <row r="86" ht="24.0" customHeight="1">
      <c r="A86" s="78"/>
      <c r="B86" s="99"/>
      <c r="C86" s="78"/>
      <c r="D86" s="99"/>
      <c r="E86" s="78"/>
      <c r="F86" s="104"/>
      <c r="G86" s="99"/>
      <c r="H86" s="99"/>
      <c r="I86" s="65"/>
      <c r="J86" s="65"/>
      <c r="K86" s="78"/>
      <c r="L86" s="54" t="str">
        <f>IF(OR(F86="",G86=""),"",IFERROR(F86*VLOOKUP(G86,Setup!$A$38:$E$52,5,FALSE),""))</f>
        <v/>
      </c>
      <c r="M86" s="54" t="str">
        <f>IF(L86="","",IFERROR(L86/VLOOKUP("EUR",Setup!$A$38:$E$52,5,FALSE),""))</f>
        <v/>
      </c>
      <c r="N86" s="54" t="str">
        <f>IF(L86="","",IFERROR(L86/VLOOKUP("USD",Setup!$A$38:$E$52,5,FALSE),""))</f>
        <v/>
      </c>
    </row>
    <row r="87" ht="24.0" customHeight="1">
      <c r="A87" s="78"/>
      <c r="B87" s="99"/>
      <c r="C87" s="78"/>
      <c r="D87" s="99"/>
      <c r="E87" s="78"/>
      <c r="F87" s="104"/>
      <c r="G87" s="99"/>
      <c r="H87" s="99"/>
      <c r="I87" s="65"/>
      <c r="J87" s="65"/>
      <c r="K87" s="78"/>
      <c r="L87" s="54" t="str">
        <f>IF(OR(F87="",G87=""),"",IFERROR(F87*VLOOKUP(G87,Setup!$A$38:$E$52,5,FALSE),""))</f>
        <v/>
      </c>
      <c r="M87" s="54" t="str">
        <f>IF(L87="","",IFERROR(L87/VLOOKUP("EUR",Setup!$A$38:$E$52,5,FALSE),""))</f>
        <v/>
      </c>
      <c r="N87" s="54" t="str">
        <f>IF(L87="","",IFERROR(L87/VLOOKUP("USD",Setup!$A$38:$E$52,5,FALSE),""))</f>
        <v/>
      </c>
    </row>
    <row r="88" ht="24.0" customHeight="1">
      <c r="A88" s="78"/>
      <c r="B88" s="99"/>
      <c r="C88" s="78"/>
      <c r="D88" s="99"/>
      <c r="E88" s="78"/>
      <c r="F88" s="104"/>
      <c r="G88" s="99"/>
      <c r="H88" s="99"/>
      <c r="I88" s="65"/>
      <c r="J88" s="65"/>
      <c r="K88" s="78"/>
      <c r="L88" s="54" t="str">
        <f>IF(OR(F88="",G88=""),"",IFERROR(F88*VLOOKUP(G88,Setup!$A$38:$E$52,5,FALSE),""))</f>
        <v/>
      </c>
      <c r="M88" s="54" t="str">
        <f>IF(L88="","",IFERROR(L88/VLOOKUP("EUR",Setup!$A$38:$E$52,5,FALSE),""))</f>
        <v/>
      </c>
      <c r="N88" s="54" t="str">
        <f>IF(L88="","",IFERROR(L88/VLOOKUP("USD",Setup!$A$38:$E$52,5,FALSE),""))</f>
        <v/>
      </c>
    </row>
    <row r="89" ht="24.0" customHeight="1">
      <c r="A89" s="78"/>
      <c r="B89" s="99"/>
      <c r="C89" s="78"/>
      <c r="D89" s="99"/>
      <c r="E89" s="78"/>
      <c r="F89" s="104"/>
      <c r="G89" s="99"/>
      <c r="H89" s="99"/>
      <c r="I89" s="65"/>
      <c r="J89" s="65"/>
      <c r="K89" s="78"/>
      <c r="L89" s="54" t="str">
        <f>IF(OR(F89="",G89=""),"",IFERROR(F89*VLOOKUP(G89,Setup!$A$38:$E$52,5,FALSE),""))</f>
        <v/>
      </c>
      <c r="M89" s="54" t="str">
        <f>IF(L89="","",IFERROR(L89/VLOOKUP("EUR",Setup!$A$38:$E$52,5,FALSE),""))</f>
        <v/>
      </c>
      <c r="N89" s="54" t="str">
        <f>IF(L89="","",IFERROR(L89/VLOOKUP("USD",Setup!$A$38:$E$52,5,FALSE),""))</f>
        <v/>
      </c>
    </row>
    <row r="90" ht="24.0" customHeight="1">
      <c r="A90" s="78"/>
      <c r="B90" s="99"/>
      <c r="C90" s="78"/>
      <c r="D90" s="99"/>
      <c r="E90" s="78"/>
      <c r="F90" s="104"/>
      <c r="G90" s="99"/>
      <c r="H90" s="99"/>
      <c r="I90" s="65"/>
      <c r="J90" s="65"/>
      <c r="K90" s="78"/>
      <c r="L90" s="54" t="str">
        <f>IF(OR(F90="",G90=""),"",IFERROR(F90*VLOOKUP(G90,Setup!$A$38:$E$52,5,FALSE),""))</f>
        <v/>
      </c>
      <c r="M90" s="54" t="str">
        <f>IF(L90="","",IFERROR(L90/VLOOKUP("EUR",Setup!$A$38:$E$52,5,FALSE),""))</f>
        <v/>
      </c>
      <c r="N90" s="54" t="str">
        <f>IF(L90="","",IFERROR(L90/VLOOKUP("USD",Setup!$A$38:$E$52,5,FALSE),""))</f>
        <v/>
      </c>
    </row>
    <row r="91" ht="24.0" customHeight="1">
      <c r="A91" s="78"/>
      <c r="B91" s="99"/>
      <c r="C91" s="78"/>
      <c r="D91" s="99"/>
      <c r="E91" s="78"/>
      <c r="F91" s="104"/>
      <c r="G91" s="99"/>
      <c r="H91" s="99"/>
      <c r="I91" s="65"/>
      <c r="J91" s="65"/>
      <c r="K91" s="78"/>
      <c r="L91" s="54" t="str">
        <f>IF(OR(F91="",G91=""),"",IFERROR(F91*VLOOKUP(G91,Setup!$A$38:$E$52,5,FALSE),""))</f>
        <v/>
      </c>
      <c r="M91" s="54" t="str">
        <f>IF(L91="","",IFERROR(L91/VLOOKUP("EUR",Setup!$A$38:$E$52,5,FALSE),""))</f>
        <v/>
      </c>
      <c r="N91" s="54" t="str">
        <f>IF(L91="","",IFERROR(L91/VLOOKUP("USD",Setup!$A$38:$E$52,5,FALSE),""))</f>
        <v/>
      </c>
    </row>
    <row r="92" ht="24.0" customHeight="1">
      <c r="A92" s="78"/>
      <c r="B92" s="99"/>
      <c r="C92" s="78"/>
      <c r="D92" s="99"/>
      <c r="E92" s="78"/>
      <c r="F92" s="104"/>
      <c r="G92" s="99"/>
      <c r="H92" s="99"/>
      <c r="I92" s="65"/>
      <c r="J92" s="65"/>
      <c r="K92" s="78"/>
      <c r="L92" s="54" t="str">
        <f>IF(OR(F92="",G92=""),"",IFERROR(F92*VLOOKUP(G92,Setup!$A$38:$E$52,5,FALSE),""))</f>
        <v/>
      </c>
      <c r="M92" s="54" t="str">
        <f>IF(L92="","",IFERROR(L92/VLOOKUP("EUR",Setup!$A$38:$E$52,5,FALSE),""))</f>
        <v/>
      </c>
      <c r="N92" s="54" t="str">
        <f>IF(L92="","",IFERROR(L92/VLOOKUP("USD",Setup!$A$38:$E$52,5,FALSE),""))</f>
        <v/>
      </c>
    </row>
    <row r="93" ht="24.0" customHeight="1">
      <c r="A93" s="78"/>
      <c r="B93" s="99"/>
      <c r="C93" s="78"/>
      <c r="D93" s="99"/>
      <c r="E93" s="78"/>
      <c r="F93" s="104"/>
      <c r="G93" s="99"/>
      <c r="H93" s="99"/>
      <c r="I93" s="65"/>
      <c r="J93" s="65"/>
      <c r="K93" s="78"/>
      <c r="L93" s="54" t="str">
        <f>IF(OR(F93="",G93=""),"",IFERROR(F93*VLOOKUP(G93,Setup!$A$38:$E$52,5,FALSE),""))</f>
        <v/>
      </c>
      <c r="M93" s="54" t="str">
        <f>IF(L93="","",IFERROR(L93/VLOOKUP("EUR",Setup!$A$38:$E$52,5,FALSE),""))</f>
        <v/>
      </c>
      <c r="N93" s="54" t="str">
        <f>IF(L93="","",IFERROR(L93/VLOOKUP("USD",Setup!$A$38:$E$52,5,FALSE),""))</f>
        <v/>
      </c>
    </row>
    <row r="94" ht="24.0" customHeight="1">
      <c r="A94" s="78"/>
      <c r="B94" s="99"/>
      <c r="C94" s="78"/>
      <c r="D94" s="99"/>
      <c r="E94" s="78"/>
      <c r="F94" s="104"/>
      <c r="G94" s="99"/>
      <c r="H94" s="99"/>
      <c r="I94" s="65"/>
      <c r="J94" s="65"/>
      <c r="K94" s="78"/>
      <c r="L94" s="54" t="str">
        <f>IF(OR(F94="",G94=""),"",IFERROR(F94*VLOOKUP(G94,Setup!$A$38:$E$52,5,FALSE),""))</f>
        <v/>
      </c>
      <c r="M94" s="54" t="str">
        <f>IF(L94="","",IFERROR(L94/VLOOKUP("EUR",Setup!$A$38:$E$52,5,FALSE),""))</f>
        <v/>
      </c>
      <c r="N94" s="54" t="str">
        <f>IF(L94="","",IFERROR(L94/VLOOKUP("USD",Setup!$A$38:$E$52,5,FALSE),""))</f>
        <v/>
      </c>
    </row>
    <row r="95" ht="24.0" customHeight="1">
      <c r="A95" s="78"/>
      <c r="B95" s="99"/>
      <c r="C95" s="78"/>
      <c r="D95" s="99"/>
      <c r="E95" s="78"/>
      <c r="F95" s="104"/>
      <c r="G95" s="99"/>
      <c r="H95" s="99"/>
      <c r="I95" s="65"/>
      <c r="J95" s="65"/>
      <c r="K95" s="78"/>
      <c r="L95" s="54" t="str">
        <f>IF(OR(F95="",G95=""),"",IFERROR(F95*VLOOKUP(G95,Setup!$A$38:$E$52,5,FALSE),""))</f>
        <v/>
      </c>
      <c r="M95" s="54" t="str">
        <f>IF(L95="","",IFERROR(L95/VLOOKUP("EUR",Setup!$A$38:$E$52,5,FALSE),""))</f>
        <v/>
      </c>
      <c r="N95" s="54" t="str">
        <f>IF(L95="","",IFERROR(L95/VLOOKUP("USD",Setup!$A$38:$E$52,5,FALSE),""))</f>
        <v/>
      </c>
    </row>
    <row r="96" ht="24.0" customHeight="1">
      <c r="A96" s="78"/>
      <c r="B96" s="99"/>
      <c r="C96" s="78"/>
      <c r="D96" s="99"/>
      <c r="E96" s="78"/>
      <c r="F96" s="104"/>
      <c r="G96" s="99"/>
      <c r="H96" s="99"/>
      <c r="I96" s="65"/>
      <c r="J96" s="65"/>
      <c r="K96" s="78"/>
      <c r="L96" s="54" t="str">
        <f>IF(OR(F96="",G96=""),"",IFERROR(F96*VLOOKUP(G96,Setup!$A$38:$E$52,5,FALSE),""))</f>
        <v/>
      </c>
      <c r="M96" s="54" t="str">
        <f>IF(L96="","",IFERROR(L96/VLOOKUP("EUR",Setup!$A$38:$E$52,5,FALSE),""))</f>
        <v/>
      </c>
      <c r="N96" s="54" t="str">
        <f>IF(L96="","",IFERROR(L96/VLOOKUP("USD",Setup!$A$38:$E$52,5,FALSE),""))</f>
        <v/>
      </c>
    </row>
    <row r="97" ht="24.0" customHeight="1">
      <c r="A97" s="78"/>
      <c r="B97" s="99"/>
      <c r="C97" s="78"/>
      <c r="D97" s="99"/>
      <c r="E97" s="78"/>
      <c r="F97" s="104"/>
      <c r="G97" s="99"/>
      <c r="H97" s="99"/>
      <c r="I97" s="65"/>
      <c r="J97" s="65"/>
      <c r="K97" s="78"/>
      <c r="L97" s="54" t="str">
        <f>IF(OR(F97="",G97=""),"",IFERROR(F97*VLOOKUP(G97,Setup!$A$38:$E$52,5,FALSE),""))</f>
        <v/>
      </c>
      <c r="M97" s="54" t="str">
        <f>IF(L97="","",IFERROR(L97/VLOOKUP("EUR",Setup!$A$38:$E$52,5,FALSE),""))</f>
        <v/>
      </c>
      <c r="N97" s="54" t="str">
        <f>IF(L97="","",IFERROR(L97/VLOOKUP("USD",Setup!$A$38:$E$52,5,FALSE),""))</f>
        <v/>
      </c>
    </row>
    <row r="98" ht="24.0" customHeight="1">
      <c r="A98" s="78"/>
      <c r="B98" s="99"/>
      <c r="C98" s="78"/>
      <c r="D98" s="99"/>
      <c r="E98" s="78"/>
      <c r="F98" s="104"/>
      <c r="G98" s="99"/>
      <c r="H98" s="99"/>
      <c r="I98" s="65"/>
      <c r="J98" s="65"/>
      <c r="K98" s="78"/>
      <c r="L98" s="54" t="str">
        <f>IF(OR(F98="",G98=""),"",IFERROR(F98*VLOOKUP(G98,Setup!$A$38:$E$52,5,FALSE),""))</f>
        <v/>
      </c>
      <c r="M98" s="54" t="str">
        <f>IF(L98="","",IFERROR(L98/VLOOKUP("EUR",Setup!$A$38:$E$52,5,FALSE),""))</f>
        <v/>
      </c>
      <c r="N98" s="54" t="str">
        <f>IF(L98="","",IFERROR(L98/VLOOKUP("USD",Setup!$A$38:$E$52,5,FALSE),""))</f>
        <v/>
      </c>
    </row>
    <row r="99" ht="24.0" customHeight="1">
      <c r="A99" s="78"/>
      <c r="B99" s="99"/>
      <c r="C99" s="78"/>
      <c r="D99" s="99"/>
      <c r="E99" s="78"/>
      <c r="F99" s="104"/>
      <c r="G99" s="99"/>
      <c r="H99" s="99"/>
      <c r="I99" s="65"/>
      <c r="J99" s="65"/>
      <c r="K99" s="78"/>
      <c r="L99" s="54" t="str">
        <f>IF(OR(F99="",G99=""),"",IFERROR(F99*VLOOKUP(G99,Setup!$A$38:$E$52,5,FALSE),""))</f>
        <v/>
      </c>
      <c r="M99" s="54" t="str">
        <f>IF(L99="","",IFERROR(L99/VLOOKUP("EUR",Setup!$A$38:$E$52,5,FALSE),""))</f>
        <v/>
      </c>
      <c r="N99" s="54" t="str">
        <f>IF(L99="","",IFERROR(L99/VLOOKUP("USD",Setup!$A$38:$E$52,5,FALSE),""))</f>
        <v/>
      </c>
    </row>
    <row r="100" ht="24.0" customHeight="1">
      <c r="A100" s="78"/>
      <c r="B100" s="99"/>
      <c r="C100" s="78"/>
      <c r="D100" s="99"/>
      <c r="E100" s="78"/>
      <c r="F100" s="104"/>
      <c r="G100" s="99"/>
      <c r="H100" s="99"/>
      <c r="I100" s="65"/>
      <c r="J100" s="65"/>
      <c r="K100" s="78"/>
      <c r="L100" s="54" t="str">
        <f>IF(OR(F100="",G100=""),"",IFERROR(F100*VLOOKUP(G100,Setup!$A$38:$E$52,5,FALSE),""))</f>
        <v/>
      </c>
      <c r="M100" s="54" t="str">
        <f>IF(L100="","",IFERROR(L100/VLOOKUP("EUR",Setup!$A$38:$E$52,5,FALSE),""))</f>
        <v/>
      </c>
      <c r="N100" s="54" t="str">
        <f>IF(L100="","",IFERROR(L100/VLOOKUP("USD",Setup!$A$38:$E$52,5,FALSE),""))</f>
        <v/>
      </c>
    </row>
    <row r="101" ht="24.0" customHeight="1">
      <c r="A101" s="78"/>
      <c r="B101" s="99"/>
      <c r="C101" s="78"/>
      <c r="D101" s="99"/>
      <c r="E101" s="78"/>
      <c r="F101" s="104"/>
      <c r="G101" s="99"/>
      <c r="H101" s="99"/>
      <c r="I101" s="65"/>
      <c r="J101" s="65"/>
      <c r="K101" s="78"/>
      <c r="L101" s="54" t="str">
        <f>IF(OR(F101="",G101=""),"",IFERROR(F101*VLOOKUP(G101,Setup!$A$38:$E$52,5,FALSE),""))</f>
        <v/>
      </c>
      <c r="M101" s="54" t="str">
        <f>IF(L101="","",IFERROR(L101/VLOOKUP("EUR",Setup!$A$38:$E$52,5,FALSE),""))</f>
        <v/>
      </c>
      <c r="N101" s="54" t="str">
        <f>IF(L101="","",IFERROR(L101/VLOOKUP("USD",Setup!$A$38:$E$52,5,FALSE),""))</f>
        <v/>
      </c>
    </row>
    <row r="102" ht="24.0" customHeight="1">
      <c r="A102" s="78"/>
      <c r="B102" s="99"/>
      <c r="C102" s="78"/>
      <c r="D102" s="99"/>
      <c r="E102" s="78"/>
      <c r="F102" s="104"/>
      <c r="G102" s="99"/>
      <c r="H102" s="99"/>
      <c r="I102" s="65"/>
      <c r="J102" s="65"/>
      <c r="K102" s="78"/>
      <c r="L102" s="54" t="str">
        <f>IF(OR(F102="",G102=""),"",IFERROR(F102*VLOOKUP(G102,Setup!$A$38:$E$52,5,FALSE),""))</f>
        <v/>
      </c>
      <c r="M102" s="54" t="str">
        <f>IF(L102="","",IFERROR(L102/VLOOKUP("EUR",Setup!$A$38:$E$52,5,FALSE),""))</f>
        <v/>
      </c>
      <c r="N102" s="54" t="str">
        <f>IF(L102="","",IFERROR(L102/VLOOKUP("USD",Setup!$A$38:$E$52,5,FALSE),""))</f>
        <v/>
      </c>
    </row>
    <row r="103" ht="24.0" customHeight="1">
      <c r="A103" s="78"/>
      <c r="B103" s="99"/>
      <c r="C103" s="78"/>
      <c r="D103" s="99"/>
      <c r="E103" s="78"/>
      <c r="F103" s="104"/>
      <c r="G103" s="99"/>
      <c r="H103" s="99"/>
      <c r="I103" s="65"/>
      <c r="J103" s="65"/>
      <c r="K103" s="78"/>
      <c r="L103" s="54" t="str">
        <f>IF(OR(F103="",G103=""),"",IFERROR(F103*VLOOKUP(G103,Setup!$A$38:$E$52,5,FALSE),""))</f>
        <v/>
      </c>
      <c r="M103" s="54" t="str">
        <f>IF(L103="","",IFERROR(L103/VLOOKUP("EUR",Setup!$A$38:$E$52,5,FALSE),""))</f>
        <v/>
      </c>
      <c r="N103" s="54" t="str">
        <f>IF(L103="","",IFERROR(L103/VLOOKUP("USD",Setup!$A$38:$E$52,5,FALSE),""))</f>
        <v/>
      </c>
    </row>
    <row r="104" ht="24.0" customHeight="1">
      <c r="A104" s="78"/>
      <c r="B104" s="99"/>
      <c r="C104" s="78"/>
      <c r="D104" s="99"/>
      <c r="E104" s="78"/>
      <c r="F104" s="104"/>
      <c r="G104" s="99"/>
      <c r="H104" s="99"/>
      <c r="I104" s="65"/>
      <c r="J104" s="65"/>
      <c r="K104" s="78"/>
      <c r="L104" s="54" t="str">
        <f>IF(OR(F104="",G104=""),"",IFERROR(F104*VLOOKUP(G104,Setup!$A$38:$E$52,5,FALSE),""))</f>
        <v/>
      </c>
      <c r="M104" s="54" t="str">
        <f>IF(L104="","",IFERROR(L104/VLOOKUP("EUR",Setup!$A$38:$E$52,5,FALSE),""))</f>
        <v/>
      </c>
      <c r="N104" s="54" t="str">
        <f>IF(L104="","",IFERROR(L104/VLOOKUP("USD",Setup!$A$38:$E$52,5,FALSE),""))</f>
        <v/>
      </c>
    </row>
    <row r="105" ht="24.0" customHeight="1">
      <c r="A105" s="78"/>
      <c r="B105" s="99"/>
      <c r="C105" s="78"/>
      <c r="D105" s="99"/>
      <c r="E105" s="78"/>
      <c r="F105" s="104"/>
      <c r="G105" s="99"/>
      <c r="H105" s="99"/>
      <c r="I105" s="65"/>
      <c r="J105" s="65"/>
      <c r="K105" s="78"/>
      <c r="L105" s="54" t="str">
        <f>IF(OR(F105="",G105=""),"",IFERROR(F105*VLOOKUP(G105,Setup!$A$38:$E$52,5,FALSE),""))</f>
        <v/>
      </c>
      <c r="M105" s="54" t="str">
        <f>IF(L105="","",IFERROR(L105/VLOOKUP("EUR",Setup!$A$38:$E$52,5,FALSE),""))</f>
        <v/>
      </c>
      <c r="N105" s="54" t="str">
        <f>IF(L105="","",IFERROR(L105/VLOOKUP("USD",Setup!$A$38:$E$52,5,FALSE),""))</f>
        <v/>
      </c>
    </row>
    <row r="106" ht="24.0" customHeight="1">
      <c r="A106" s="78"/>
      <c r="B106" s="99"/>
      <c r="C106" s="78"/>
      <c r="D106" s="99"/>
      <c r="E106" s="78"/>
      <c r="F106" s="104"/>
      <c r="G106" s="99"/>
      <c r="H106" s="99"/>
      <c r="I106" s="65"/>
      <c r="J106" s="65"/>
      <c r="K106" s="78"/>
      <c r="L106" s="54" t="str">
        <f>IF(OR(F106="",G106=""),"",IFERROR(F106*VLOOKUP(G106,Setup!$A$38:$E$52,5,FALSE),""))</f>
        <v/>
      </c>
      <c r="M106" s="54" t="str">
        <f>IF(L106="","",IFERROR(L106/VLOOKUP("EUR",Setup!$A$38:$E$52,5,FALSE),""))</f>
        <v/>
      </c>
      <c r="N106" s="54" t="str">
        <f>IF(L106="","",IFERROR(L106/VLOOKUP("USD",Setup!$A$38:$E$52,5,FALSE),""))</f>
        <v/>
      </c>
    </row>
    <row r="107" ht="24.0" customHeight="1">
      <c r="A107" s="78"/>
      <c r="B107" s="99"/>
      <c r="C107" s="78"/>
      <c r="D107" s="99"/>
      <c r="E107" s="78"/>
      <c r="F107" s="104"/>
      <c r="G107" s="99"/>
      <c r="H107" s="99"/>
      <c r="I107" s="65"/>
      <c r="J107" s="65"/>
      <c r="K107" s="78"/>
      <c r="L107" s="54" t="str">
        <f>IF(OR(F107="",G107=""),"",IFERROR(F107*VLOOKUP(G107,Setup!$A$38:$E$52,5,FALSE),""))</f>
        <v/>
      </c>
      <c r="M107" s="54" t="str">
        <f>IF(L107="","",IFERROR(L107/VLOOKUP("EUR",Setup!$A$38:$E$52,5,FALSE),""))</f>
        <v/>
      </c>
      <c r="N107" s="54" t="str">
        <f>IF(L107="","",IFERROR(L107/VLOOKUP("USD",Setup!$A$38:$E$52,5,FALSE),""))</f>
        <v/>
      </c>
    </row>
    <row r="108" ht="24.0" customHeight="1">
      <c r="A108" s="78"/>
      <c r="B108" s="99"/>
      <c r="C108" s="78"/>
      <c r="D108" s="99"/>
      <c r="E108" s="78"/>
      <c r="F108" s="104"/>
      <c r="G108" s="99"/>
      <c r="H108" s="99"/>
      <c r="I108" s="65"/>
      <c r="J108" s="65"/>
      <c r="K108" s="78"/>
      <c r="L108" s="54" t="str">
        <f>IF(OR(F108="",G108=""),"",IFERROR(F108*VLOOKUP(G108,Setup!$A$38:$E$52,5,FALSE),""))</f>
        <v/>
      </c>
      <c r="M108" s="54" t="str">
        <f>IF(L108="","",IFERROR(L108/VLOOKUP("EUR",Setup!$A$38:$E$52,5,FALSE),""))</f>
        <v/>
      </c>
      <c r="N108" s="54" t="str">
        <f>IF(L108="","",IFERROR(L108/VLOOKUP("USD",Setup!$A$38:$E$52,5,FALSE),""))</f>
        <v/>
      </c>
    </row>
    <row r="109" ht="24.0" customHeight="1">
      <c r="A109" s="78"/>
      <c r="B109" s="99"/>
      <c r="C109" s="78"/>
      <c r="D109" s="99"/>
      <c r="E109" s="78"/>
      <c r="F109" s="104"/>
      <c r="G109" s="99"/>
      <c r="H109" s="99"/>
      <c r="I109" s="65"/>
      <c r="J109" s="65"/>
      <c r="K109" s="78"/>
      <c r="L109" s="54" t="str">
        <f>IF(OR(F109="",G109=""),"",IFERROR(F109*VLOOKUP(G109,Setup!$A$38:$E$52,5,FALSE),""))</f>
        <v/>
      </c>
      <c r="M109" s="54" t="str">
        <f>IF(L109="","",IFERROR(L109/VLOOKUP("EUR",Setup!$A$38:$E$52,5,FALSE),""))</f>
        <v/>
      </c>
      <c r="N109" s="54" t="str">
        <f>IF(L109="","",IFERROR(L109/VLOOKUP("USD",Setup!$A$38:$E$52,5,FALSE),""))</f>
        <v/>
      </c>
    </row>
    <row r="110" ht="24.0" customHeight="1">
      <c r="A110" s="78"/>
      <c r="B110" s="99"/>
      <c r="C110" s="78"/>
      <c r="D110" s="99"/>
      <c r="E110" s="78"/>
      <c r="F110" s="104"/>
      <c r="G110" s="99"/>
      <c r="H110" s="99"/>
      <c r="I110" s="65"/>
      <c r="J110" s="65"/>
      <c r="K110" s="78"/>
      <c r="L110" s="54" t="str">
        <f>IF(OR(F110="",G110=""),"",IFERROR(F110*VLOOKUP(G110,Setup!$A$38:$E$52,5,FALSE),""))</f>
        <v/>
      </c>
      <c r="M110" s="54" t="str">
        <f>IF(L110="","",IFERROR(L110/VLOOKUP("EUR",Setup!$A$38:$E$52,5,FALSE),""))</f>
        <v/>
      </c>
      <c r="N110" s="54" t="str">
        <f>IF(L110="","",IFERROR(L110/VLOOKUP("USD",Setup!$A$38:$E$52,5,FALSE),""))</f>
        <v/>
      </c>
    </row>
    <row r="111" ht="24.0" customHeight="1">
      <c r="A111" s="78"/>
      <c r="B111" s="99"/>
      <c r="C111" s="78"/>
      <c r="D111" s="99"/>
      <c r="E111" s="78"/>
      <c r="F111" s="104"/>
      <c r="G111" s="99"/>
      <c r="H111" s="99"/>
      <c r="I111" s="65"/>
      <c r="J111" s="65"/>
      <c r="K111" s="78"/>
      <c r="L111" s="54" t="str">
        <f>IF(OR(F111="",G111=""),"",IFERROR(F111*VLOOKUP(G111,Setup!$A$38:$E$52,5,FALSE),""))</f>
        <v/>
      </c>
      <c r="M111" s="54" t="str">
        <f>IF(L111="","",IFERROR(L111/VLOOKUP("EUR",Setup!$A$38:$E$52,5,FALSE),""))</f>
        <v/>
      </c>
      <c r="N111" s="54" t="str">
        <f>IF(L111="","",IFERROR(L111/VLOOKUP("USD",Setup!$A$38:$E$52,5,FALSE),""))</f>
        <v/>
      </c>
    </row>
    <row r="112" ht="24.0" customHeight="1">
      <c r="A112" s="78"/>
      <c r="B112" s="99"/>
      <c r="C112" s="78"/>
      <c r="D112" s="99"/>
      <c r="E112" s="78"/>
      <c r="F112" s="104"/>
      <c r="G112" s="99"/>
      <c r="H112" s="99"/>
      <c r="I112" s="65"/>
      <c r="J112" s="65"/>
      <c r="K112" s="78"/>
      <c r="L112" s="54" t="str">
        <f>IF(OR(F112="",G112=""),"",IFERROR(F112*VLOOKUP(G112,Setup!$A$38:$E$52,5,FALSE),""))</f>
        <v/>
      </c>
      <c r="M112" s="54" t="str">
        <f>IF(L112="","",IFERROR(L112/VLOOKUP("EUR",Setup!$A$38:$E$52,5,FALSE),""))</f>
        <v/>
      </c>
      <c r="N112" s="54" t="str">
        <f>IF(L112="","",IFERROR(L112/VLOOKUP("USD",Setup!$A$38:$E$52,5,FALSE),""))</f>
        <v/>
      </c>
    </row>
    <row r="113" ht="24.0" customHeight="1">
      <c r="A113" s="78"/>
      <c r="B113" s="99"/>
      <c r="C113" s="78"/>
      <c r="D113" s="99"/>
      <c r="E113" s="78"/>
      <c r="F113" s="104"/>
      <c r="G113" s="99"/>
      <c r="H113" s="99"/>
      <c r="I113" s="65"/>
      <c r="J113" s="65"/>
      <c r="K113" s="78"/>
      <c r="L113" s="54" t="str">
        <f>IF(OR(F113="",G113=""),"",IFERROR(F113*VLOOKUP(G113,Setup!$A$38:$E$52,5,FALSE),""))</f>
        <v/>
      </c>
      <c r="M113" s="54" t="str">
        <f>IF(L113="","",IFERROR(L113/VLOOKUP("EUR",Setup!$A$38:$E$52,5,FALSE),""))</f>
        <v/>
      </c>
      <c r="N113" s="54" t="str">
        <f>IF(L113="","",IFERROR(L113/VLOOKUP("USD",Setup!$A$38:$E$52,5,FALSE),""))</f>
        <v/>
      </c>
    </row>
    <row r="114" ht="24.0" customHeight="1">
      <c r="A114" s="78"/>
      <c r="B114" s="99"/>
      <c r="C114" s="78"/>
      <c r="D114" s="99"/>
      <c r="E114" s="78"/>
      <c r="F114" s="104"/>
      <c r="G114" s="99"/>
      <c r="H114" s="99"/>
      <c r="I114" s="65"/>
      <c r="J114" s="65"/>
      <c r="K114" s="78"/>
      <c r="L114" s="54" t="str">
        <f>IF(OR(F114="",G114=""),"",IFERROR(F114*VLOOKUP(G114,Setup!$A$38:$E$52,5,FALSE),""))</f>
        <v/>
      </c>
      <c r="M114" s="54" t="str">
        <f>IF(L114="","",IFERROR(L114/VLOOKUP("EUR",Setup!$A$38:$E$52,5,FALSE),""))</f>
        <v/>
      </c>
      <c r="N114" s="54" t="str">
        <f>IF(L114="","",IFERROR(L114/VLOOKUP("USD",Setup!$A$38:$E$52,5,FALSE),""))</f>
        <v/>
      </c>
    </row>
    <row r="115" ht="24.0" customHeight="1">
      <c r="A115" s="78"/>
      <c r="B115" s="99"/>
      <c r="C115" s="78"/>
      <c r="D115" s="99"/>
      <c r="E115" s="78"/>
      <c r="F115" s="104"/>
      <c r="G115" s="99"/>
      <c r="H115" s="99"/>
      <c r="I115" s="65"/>
      <c r="J115" s="65"/>
      <c r="K115" s="78"/>
      <c r="L115" s="54" t="str">
        <f>IF(OR(F115="",G115=""),"",IFERROR(F115*VLOOKUP(G115,Setup!$A$38:$E$52,5,FALSE),""))</f>
        <v/>
      </c>
      <c r="M115" s="54" t="str">
        <f>IF(L115="","",IFERROR(L115/VLOOKUP("EUR",Setup!$A$38:$E$52,5,FALSE),""))</f>
        <v/>
      </c>
      <c r="N115" s="54" t="str">
        <f>IF(L115="","",IFERROR(L115/VLOOKUP("USD",Setup!$A$38:$E$52,5,FALSE),""))</f>
        <v/>
      </c>
    </row>
    <row r="116" ht="24.0" customHeight="1">
      <c r="A116" s="78"/>
      <c r="B116" s="99"/>
      <c r="C116" s="78"/>
      <c r="D116" s="99"/>
      <c r="E116" s="78"/>
      <c r="F116" s="104"/>
      <c r="G116" s="99"/>
      <c r="H116" s="99"/>
      <c r="I116" s="65"/>
      <c r="J116" s="65"/>
      <c r="K116" s="78"/>
      <c r="L116" s="54" t="str">
        <f>IF(OR(F116="",G116=""),"",IFERROR(F116*VLOOKUP(G116,Setup!$A$38:$E$52,5,FALSE),""))</f>
        <v/>
      </c>
      <c r="M116" s="54" t="str">
        <f>IF(L116="","",IFERROR(L116/VLOOKUP("EUR",Setup!$A$38:$E$52,5,FALSE),""))</f>
        <v/>
      </c>
      <c r="N116" s="54" t="str">
        <f>IF(L116="","",IFERROR(L116/VLOOKUP("USD",Setup!$A$38:$E$52,5,FALSE),""))</f>
        <v/>
      </c>
    </row>
    <row r="117" ht="24.0" customHeight="1">
      <c r="A117" s="78"/>
      <c r="B117" s="99"/>
      <c r="C117" s="78"/>
      <c r="D117" s="99"/>
      <c r="E117" s="78"/>
      <c r="F117" s="104"/>
      <c r="G117" s="99"/>
      <c r="H117" s="99"/>
      <c r="I117" s="65"/>
      <c r="J117" s="65"/>
      <c r="K117" s="78"/>
      <c r="L117" s="54" t="str">
        <f>IF(OR(F117="",G117=""),"",IFERROR(F117*VLOOKUP(G117,Setup!$A$38:$E$52,5,FALSE),""))</f>
        <v/>
      </c>
      <c r="M117" s="54" t="str">
        <f>IF(L117="","",IFERROR(L117/VLOOKUP("EUR",Setup!$A$38:$E$52,5,FALSE),""))</f>
        <v/>
      </c>
      <c r="N117" s="54" t="str">
        <f>IF(L117="","",IFERROR(L117/VLOOKUP("USD",Setup!$A$38:$E$52,5,FALSE),""))</f>
        <v/>
      </c>
    </row>
    <row r="118" ht="24.0" customHeight="1">
      <c r="A118" s="78"/>
      <c r="B118" s="99"/>
      <c r="C118" s="78"/>
      <c r="D118" s="99"/>
      <c r="E118" s="78"/>
      <c r="F118" s="104"/>
      <c r="G118" s="99"/>
      <c r="H118" s="99"/>
      <c r="I118" s="65"/>
      <c r="J118" s="65"/>
      <c r="K118" s="78"/>
      <c r="L118" s="54" t="str">
        <f>IF(OR(F118="",G118=""),"",IFERROR(F118*VLOOKUP(G118,Setup!$A$38:$E$52,5,FALSE),""))</f>
        <v/>
      </c>
      <c r="M118" s="54" t="str">
        <f>IF(L118="","",IFERROR(L118/VLOOKUP("EUR",Setup!$A$38:$E$52,5,FALSE),""))</f>
        <v/>
      </c>
      <c r="N118" s="54" t="str">
        <f>IF(L118="","",IFERROR(L118/VLOOKUP("USD",Setup!$A$38:$E$52,5,FALSE),""))</f>
        <v/>
      </c>
    </row>
    <row r="119" ht="24.0" customHeight="1">
      <c r="A119" s="78"/>
      <c r="B119" s="99"/>
      <c r="C119" s="78"/>
      <c r="D119" s="99"/>
      <c r="E119" s="78"/>
      <c r="F119" s="104"/>
      <c r="G119" s="99"/>
      <c r="H119" s="99"/>
      <c r="I119" s="65"/>
      <c r="J119" s="65"/>
      <c r="K119" s="78"/>
      <c r="L119" s="54" t="str">
        <f>IF(OR(F119="",G119=""),"",IFERROR(F119*VLOOKUP(G119,Setup!$A$38:$E$52,5,FALSE),""))</f>
        <v/>
      </c>
      <c r="M119" s="54" t="str">
        <f>IF(L119="","",IFERROR(L119/VLOOKUP("EUR",Setup!$A$38:$E$52,5,FALSE),""))</f>
        <v/>
      </c>
      <c r="N119" s="54" t="str">
        <f>IF(L119="","",IFERROR(L119/VLOOKUP("USD",Setup!$A$38:$E$52,5,FALSE),""))</f>
        <v/>
      </c>
    </row>
    <row r="120" ht="24.0" customHeight="1">
      <c r="A120" s="78"/>
      <c r="B120" s="99"/>
      <c r="C120" s="78"/>
      <c r="D120" s="99"/>
      <c r="E120" s="78"/>
      <c r="F120" s="104"/>
      <c r="G120" s="99"/>
      <c r="H120" s="99"/>
      <c r="I120" s="65"/>
      <c r="J120" s="65"/>
      <c r="K120" s="78"/>
      <c r="L120" s="54" t="str">
        <f>IF(OR(F120="",G120=""),"",IFERROR(F120*VLOOKUP(G120,Setup!$A$38:$E$52,5,FALSE),""))</f>
        <v/>
      </c>
      <c r="M120" s="54" t="str">
        <f>IF(L120="","",IFERROR(L120/VLOOKUP("EUR",Setup!$A$38:$E$52,5,FALSE),""))</f>
        <v/>
      </c>
      <c r="N120" s="54" t="str">
        <f>IF(L120="","",IFERROR(L120/VLOOKUP("USD",Setup!$A$38:$E$52,5,FALSE),""))</f>
        <v/>
      </c>
    </row>
    <row r="121" ht="24.0" customHeight="1">
      <c r="A121" s="78"/>
      <c r="B121" s="99"/>
      <c r="C121" s="78"/>
      <c r="D121" s="99"/>
      <c r="E121" s="78"/>
      <c r="F121" s="104"/>
      <c r="G121" s="99"/>
      <c r="H121" s="99"/>
      <c r="I121" s="65"/>
      <c r="J121" s="65"/>
      <c r="K121" s="78"/>
      <c r="L121" s="54" t="str">
        <f>IF(OR(F121="",G121=""),"",IFERROR(F121*VLOOKUP(G121,Setup!$A$38:$E$52,5,FALSE),""))</f>
        <v/>
      </c>
      <c r="M121" s="54" t="str">
        <f>IF(L121="","",IFERROR(L121/VLOOKUP("EUR",Setup!$A$38:$E$52,5,FALSE),""))</f>
        <v/>
      </c>
      <c r="N121" s="54" t="str">
        <f>IF(L121="","",IFERROR(L121/VLOOKUP("USD",Setup!$A$38:$E$52,5,FALSE),""))</f>
        <v/>
      </c>
    </row>
    <row r="122" ht="24.0" customHeight="1">
      <c r="A122" s="78"/>
      <c r="B122" s="99"/>
      <c r="C122" s="78"/>
      <c r="D122" s="99"/>
      <c r="E122" s="78"/>
      <c r="F122" s="104"/>
      <c r="G122" s="99"/>
      <c r="H122" s="99"/>
      <c r="I122" s="65"/>
      <c r="J122" s="65"/>
      <c r="K122" s="78"/>
      <c r="L122" s="54" t="str">
        <f>IF(OR(F122="",G122=""),"",IFERROR(F122*VLOOKUP(G122,Setup!$A$38:$E$52,5,FALSE),""))</f>
        <v/>
      </c>
      <c r="M122" s="54" t="str">
        <f>IF(L122="","",IFERROR(L122/VLOOKUP("EUR",Setup!$A$38:$E$52,5,FALSE),""))</f>
        <v/>
      </c>
      <c r="N122" s="54" t="str">
        <f>IF(L122="","",IFERROR(L122/VLOOKUP("USD",Setup!$A$38:$E$52,5,FALSE),""))</f>
        <v/>
      </c>
    </row>
    <row r="123" ht="24.0" customHeight="1">
      <c r="A123" s="78"/>
      <c r="B123" s="99"/>
      <c r="C123" s="78"/>
      <c r="D123" s="99"/>
      <c r="E123" s="78"/>
      <c r="F123" s="104"/>
      <c r="G123" s="99"/>
      <c r="H123" s="99"/>
      <c r="I123" s="65"/>
      <c r="J123" s="65"/>
      <c r="K123" s="78"/>
      <c r="L123" s="54" t="str">
        <f>IF(OR(F123="",G123=""),"",IFERROR(F123*VLOOKUP(G123,Setup!$A$38:$E$52,5,FALSE),""))</f>
        <v/>
      </c>
      <c r="M123" s="54" t="str">
        <f>IF(L123="","",IFERROR(L123/VLOOKUP("EUR",Setup!$A$38:$E$52,5,FALSE),""))</f>
        <v/>
      </c>
      <c r="N123" s="54" t="str">
        <f>IF(L123="","",IFERROR(L123/VLOOKUP("USD",Setup!$A$38:$E$52,5,FALSE),""))</f>
        <v/>
      </c>
    </row>
    <row r="124" ht="24.0" customHeight="1">
      <c r="A124" s="78"/>
      <c r="B124" s="99"/>
      <c r="C124" s="78"/>
      <c r="D124" s="99"/>
      <c r="E124" s="78"/>
      <c r="F124" s="104"/>
      <c r="G124" s="99"/>
      <c r="H124" s="99"/>
      <c r="I124" s="65"/>
      <c r="J124" s="65"/>
      <c r="K124" s="78"/>
      <c r="L124" s="54" t="str">
        <f>IF(OR(F124="",G124=""),"",IFERROR(F124*VLOOKUP(G124,Setup!$A$38:$E$52,5,FALSE),""))</f>
        <v/>
      </c>
      <c r="M124" s="54" t="str">
        <f>IF(L124="","",IFERROR(L124/VLOOKUP("EUR",Setup!$A$38:$E$52,5,FALSE),""))</f>
        <v/>
      </c>
      <c r="N124" s="54" t="str">
        <f>IF(L124="","",IFERROR(L124/VLOOKUP("USD",Setup!$A$38:$E$52,5,FALSE),""))</f>
        <v/>
      </c>
    </row>
    <row r="125" ht="24.0" customHeight="1">
      <c r="A125" s="78"/>
      <c r="B125" s="99"/>
      <c r="C125" s="78"/>
      <c r="D125" s="99"/>
      <c r="E125" s="78"/>
      <c r="F125" s="104"/>
      <c r="G125" s="99"/>
      <c r="H125" s="99"/>
      <c r="I125" s="65"/>
      <c r="J125" s="65"/>
      <c r="K125" s="78"/>
      <c r="L125" s="54" t="str">
        <f>IF(OR(F125="",G125=""),"",IFERROR(F125*VLOOKUP(G125,Setup!$A$38:$E$52,5,FALSE),""))</f>
        <v/>
      </c>
      <c r="M125" s="54" t="str">
        <f>IF(L125="","",IFERROR(L125/VLOOKUP("EUR",Setup!$A$38:$E$52,5,FALSE),""))</f>
        <v/>
      </c>
      <c r="N125" s="54" t="str">
        <f>IF(L125="","",IFERROR(L125/VLOOKUP("USD",Setup!$A$38:$E$52,5,FALSE),""))</f>
        <v/>
      </c>
    </row>
    <row r="126" ht="24.0" customHeight="1">
      <c r="A126" s="78"/>
      <c r="B126" s="99"/>
      <c r="C126" s="78"/>
      <c r="D126" s="99"/>
      <c r="E126" s="78"/>
      <c r="F126" s="104"/>
      <c r="G126" s="99"/>
      <c r="H126" s="99"/>
      <c r="I126" s="65"/>
      <c r="J126" s="65"/>
      <c r="K126" s="78"/>
      <c r="L126" s="54" t="str">
        <f>IF(OR(F126="",G126=""),"",IFERROR(F126*VLOOKUP(G126,Setup!$A$38:$E$52,5,FALSE),""))</f>
        <v/>
      </c>
      <c r="M126" s="54" t="str">
        <f>IF(L126="","",IFERROR(L126/VLOOKUP("EUR",Setup!$A$38:$E$52,5,FALSE),""))</f>
        <v/>
      </c>
      <c r="N126" s="54" t="str">
        <f>IF(L126="","",IFERROR(L126/VLOOKUP("USD",Setup!$A$38:$E$52,5,FALSE),""))</f>
        <v/>
      </c>
    </row>
    <row r="127" ht="24.0" customHeight="1">
      <c r="A127" s="78"/>
      <c r="B127" s="99"/>
      <c r="C127" s="78"/>
      <c r="D127" s="99"/>
      <c r="E127" s="78"/>
      <c r="F127" s="104"/>
      <c r="G127" s="99"/>
      <c r="H127" s="99"/>
      <c r="I127" s="65"/>
      <c r="J127" s="65"/>
      <c r="K127" s="78"/>
      <c r="L127" s="54" t="str">
        <f>IF(OR(F127="",G127=""),"",IFERROR(F127*VLOOKUP(G127,Setup!$A$38:$E$52,5,FALSE),""))</f>
        <v/>
      </c>
      <c r="M127" s="54" t="str">
        <f>IF(L127="","",IFERROR(L127/VLOOKUP("EUR",Setup!$A$38:$E$52,5,FALSE),""))</f>
        <v/>
      </c>
      <c r="N127" s="54" t="str">
        <f>IF(L127="","",IFERROR(L127/VLOOKUP("USD",Setup!$A$38:$E$52,5,FALSE),""))</f>
        <v/>
      </c>
    </row>
    <row r="128" ht="24.0" customHeight="1">
      <c r="A128" s="78"/>
      <c r="B128" s="99"/>
      <c r="C128" s="78"/>
      <c r="D128" s="99"/>
      <c r="E128" s="78"/>
      <c r="F128" s="104"/>
      <c r="G128" s="99"/>
      <c r="H128" s="99"/>
      <c r="I128" s="65"/>
      <c r="J128" s="65"/>
      <c r="K128" s="78"/>
      <c r="L128" s="54" t="str">
        <f>IF(OR(F128="",G128=""),"",IFERROR(F128*VLOOKUP(G128,Setup!$A$38:$E$52,5,FALSE),""))</f>
        <v/>
      </c>
      <c r="M128" s="54" t="str">
        <f>IF(L128="","",IFERROR(L128/VLOOKUP("EUR",Setup!$A$38:$E$52,5,FALSE),""))</f>
        <v/>
      </c>
      <c r="N128" s="54" t="str">
        <f>IF(L128="","",IFERROR(L128/VLOOKUP("USD",Setup!$A$38:$E$52,5,FALSE),""))</f>
        <v/>
      </c>
    </row>
    <row r="129" ht="24.0" customHeight="1">
      <c r="A129" s="78"/>
      <c r="B129" s="99"/>
      <c r="C129" s="78"/>
      <c r="D129" s="99"/>
      <c r="E129" s="78"/>
      <c r="F129" s="104"/>
      <c r="G129" s="99"/>
      <c r="H129" s="99"/>
      <c r="I129" s="65"/>
      <c r="J129" s="65"/>
      <c r="K129" s="78"/>
      <c r="L129" s="54" t="str">
        <f>IF(OR(F129="",G129=""),"",IFERROR(F129*VLOOKUP(G129,Setup!$A$38:$E$52,5,FALSE),""))</f>
        <v/>
      </c>
      <c r="M129" s="54" t="str">
        <f>IF(L129="","",IFERROR(L129/VLOOKUP("EUR",Setup!$A$38:$E$52,5,FALSE),""))</f>
        <v/>
      </c>
      <c r="N129" s="54" t="str">
        <f>IF(L129="","",IFERROR(L129/VLOOKUP("USD",Setup!$A$38:$E$52,5,FALSE),""))</f>
        <v/>
      </c>
    </row>
    <row r="130" ht="24.0" customHeight="1">
      <c r="A130" s="78"/>
      <c r="B130" s="99"/>
      <c r="C130" s="78"/>
      <c r="D130" s="99"/>
      <c r="E130" s="78"/>
      <c r="F130" s="104"/>
      <c r="G130" s="99"/>
      <c r="H130" s="99"/>
      <c r="I130" s="65"/>
      <c r="J130" s="65"/>
      <c r="K130" s="78"/>
      <c r="L130" s="54" t="str">
        <f>IF(OR(F130="",G130=""),"",IFERROR(F130*VLOOKUP(G130,Setup!$A$38:$E$52,5,FALSE),""))</f>
        <v/>
      </c>
      <c r="M130" s="54" t="str">
        <f>IF(L130="","",IFERROR(L130/VLOOKUP("EUR",Setup!$A$38:$E$52,5,FALSE),""))</f>
        <v/>
      </c>
      <c r="N130" s="54" t="str">
        <f>IF(L130="","",IFERROR(L130/VLOOKUP("USD",Setup!$A$38:$E$52,5,FALSE),""))</f>
        <v/>
      </c>
    </row>
    <row r="131" ht="24.0" customHeight="1">
      <c r="A131" s="78"/>
      <c r="B131" s="99"/>
      <c r="C131" s="78"/>
      <c r="D131" s="99"/>
      <c r="E131" s="78"/>
      <c r="F131" s="104"/>
      <c r="G131" s="99"/>
      <c r="H131" s="99"/>
      <c r="I131" s="65"/>
      <c r="J131" s="65"/>
      <c r="K131" s="78"/>
      <c r="L131" s="54" t="str">
        <f>IF(OR(F131="",G131=""),"",IFERROR(F131*VLOOKUP(G131,Setup!$A$38:$E$52,5,FALSE),""))</f>
        <v/>
      </c>
      <c r="M131" s="54" t="str">
        <f>IF(L131="","",IFERROR(L131/VLOOKUP("EUR",Setup!$A$38:$E$52,5,FALSE),""))</f>
        <v/>
      </c>
      <c r="N131" s="54" t="str">
        <f>IF(L131="","",IFERROR(L131/VLOOKUP("USD",Setup!$A$38:$E$52,5,FALSE),""))</f>
        <v/>
      </c>
    </row>
    <row r="132" ht="24.0" customHeight="1">
      <c r="A132" s="78"/>
      <c r="B132" s="99"/>
      <c r="C132" s="78"/>
      <c r="D132" s="99"/>
      <c r="E132" s="78"/>
      <c r="F132" s="104"/>
      <c r="G132" s="99"/>
      <c r="H132" s="99"/>
      <c r="I132" s="65"/>
      <c r="J132" s="65"/>
      <c r="K132" s="78"/>
      <c r="L132" s="54" t="str">
        <f>IF(OR(F132="",G132=""),"",IFERROR(F132*VLOOKUP(G132,Setup!$A$38:$E$52,5,FALSE),""))</f>
        <v/>
      </c>
      <c r="M132" s="54" t="str">
        <f>IF(L132="","",IFERROR(L132/VLOOKUP("EUR",Setup!$A$38:$E$52,5,FALSE),""))</f>
        <v/>
      </c>
      <c r="N132" s="54" t="str">
        <f>IF(L132="","",IFERROR(L132/VLOOKUP("USD",Setup!$A$38:$E$52,5,FALSE),""))</f>
        <v/>
      </c>
    </row>
    <row r="133" ht="24.0" customHeight="1">
      <c r="A133" s="78"/>
      <c r="B133" s="99"/>
      <c r="C133" s="78"/>
      <c r="D133" s="99"/>
      <c r="E133" s="78"/>
      <c r="F133" s="104"/>
      <c r="G133" s="99"/>
      <c r="H133" s="99"/>
      <c r="I133" s="65"/>
      <c r="J133" s="65"/>
      <c r="K133" s="78"/>
      <c r="L133" s="54" t="str">
        <f>IF(OR(F133="",G133=""),"",IFERROR(F133*VLOOKUP(G133,Setup!$A$38:$E$52,5,FALSE),""))</f>
        <v/>
      </c>
      <c r="M133" s="54" t="str">
        <f>IF(L133="","",IFERROR(L133/VLOOKUP("EUR",Setup!$A$38:$E$52,5,FALSE),""))</f>
        <v/>
      </c>
      <c r="N133" s="54" t="str">
        <f>IF(L133="","",IFERROR(L133/VLOOKUP("USD",Setup!$A$38:$E$52,5,FALSE),""))</f>
        <v/>
      </c>
    </row>
    <row r="134" ht="24.0" customHeight="1">
      <c r="A134" s="78"/>
      <c r="B134" s="99"/>
      <c r="C134" s="78"/>
      <c r="D134" s="99"/>
      <c r="E134" s="78"/>
      <c r="F134" s="104"/>
      <c r="G134" s="99"/>
      <c r="H134" s="99"/>
      <c r="I134" s="65"/>
      <c r="J134" s="65"/>
      <c r="K134" s="78"/>
      <c r="L134" s="54" t="str">
        <f>IF(OR(F134="",G134=""),"",IFERROR(F134*VLOOKUP(G134,Setup!$A$38:$E$52,5,FALSE),""))</f>
        <v/>
      </c>
      <c r="M134" s="54" t="str">
        <f>IF(L134="","",IFERROR(L134/VLOOKUP("EUR",Setup!$A$38:$E$52,5,FALSE),""))</f>
        <v/>
      </c>
      <c r="N134" s="54" t="str">
        <f>IF(L134="","",IFERROR(L134/VLOOKUP("USD",Setup!$A$38:$E$52,5,FALSE),""))</f>
        <v/>
      </c>
    </row>
    <row r="135" ht="24.0" customHeight="1">
      <c r="A135" s="78"/>
      <c r="B135" s="99"/>
      <c r="C135" s="78"/>
      <c r="D135" s="99"/>
      <c r="E135" s="78"/>
      <c r="F135" s="104"/>
      <c r="G135" s="99"/>
      <c r="H135" s="99"/>
      <c r="I135" s="65"/>
      <c r="J135" s="65"/>
      <c r="K135" s="78"/>
      <c r="L135" s="54" t="str">
        <f>IF(OR(F135="",G135=""),"",IFERROR(F135*VLOOKUP(G135,Setup!$A$38:$E$52,5,FALSE),""))</f>
        <v/>
      </c>
      <c r="M135" s="54" t="str">
        <f>IF(L135="","",IFERROR(L135/VLOOKUP("EUR",Setup!$A$38:$E$52,5,FALSE),""))</f>
        <v/>
      </c>
      <c r="N135" s="54" t="str">
        <f>IF(L135="","",IFERROR(L135/VLOOKUP("USD",Setup!$A$38:$E$52,5,FALSE),""))</f>
        <v/>
      </c>
    </row>
    <row r="136" ht="24.0" customHeight="1">
      <c r="A136" s="78"/>
      <c r="B136" s="99"/>
      <c r="C136" s="78"/>
      <c r="D136" s="99"/>
      <c r="E136" s="78"/>
      <c r="F136" s="104"/>
      <c r="G136" s="99"/>
      <c r="H136" s="99"/>
      <c r="I136" s="65"/>
      <c r="J136" s="65"/>
      <c r="K136" s="78"/>
      <c r="L136" s="54" t="str">
        <f>IF(OR(F136="",G136=""),"",IFERROR(F136*VLOOKUP(G136,Setup!$A$38:$E$52,5,FALSE),""))</f>
        <v/>
      </c>
      <c r="M136" s="54" t="str">
        <f>IF(L136="","",IFERROR(L136/VLOOKUP("EUR",Setup!$A$38:$E$52,5,FALSE),""))</f>
        <v/>
      </c>
      <c r="N136" s="54" t="str">
        <f>IF(L136="","",IFERROR(L136/VLOOKUP("USD",Setup!$A$38:$E$52,5,FALSE),""))</f>
        <v/>
      </c>
    </row>
    <row r="137" ht="24.0" customHeight="1">
      <c r="A137" s="78"/>
      <c r="B137" s="99"/>
      <c r="C137" s="78"/>
      <c r="D137" s="99"/>
      <c r="E137" s="78"/>
      <c r="F137" s="104"/>
      <c r="G137" s="99"/>
      <c r="H137" s="99"/>
      <c r="I137" s="65"/>
      <c r="J137" s="65"/>
      <c r="K137" s="78"/>
      <c r="L137" s="54" t="str">
        <f>IF(OR(F137="",G137=""),"",IFERROR(F137*VLOOKUP(G137,Setup!$A$38:$E$52,5,FALSE),""))</f>
        <v/>
      </c>
      <c r="M137" s="54" t="str">
        <f>IF(L137="","",IFERROR(L137/VLOOKUP("EUR",Setup!$A$38:$E$52,5,FALSE),""))</f>
        <v/>
      </c>
      <c r="N137" s="54" t="str">
        <f>IF(L137="","",IFERROR(L137/VLOOKUP("USD",Setup!$A$38:$E$52,5,FALSE),""))</f>
        <v/>
      </c>
    </row>
    <row r="138" ht="24.0" customHeight="1">
      <c r="A138" s="78"/>
      <c r="B138" s="99"/>
      <c r="C138" s="78"/>
      <c r="D138" s="99"/>
      <c r="E138" s="78"/>
      <c r="F138" s="104"/>
      <c r="G138" s="99"/>
      <c r="H138" s="99"/>
      <c r="I138" s="65"/>
      <c r="J138" s="65"/>
      <c r="K138" s="78"/>
      <c r="L138" s="54" t="str">
        <f>IF(OR(F138="",G138=""),"",IFERROR(F138*VLOOKUP(G138,Setup!$A$38:$E$52,5,FALSE),""))</f>
        <v/>
      </c>
      <c r="M138" s="54" t="str">
        <f>IF(L138="","",IFERROR(L138/VLOOKUP("EUR",Setup!$A$38:$E$52,5,FALSE),""))</f>
        <v/>
      </c>
      <c r="N138" s="54" t="str">
        <f>IF(L138="","",IFERROR(L138/VLOOKUP("USD",Setup!$A$38:$E$52,5,FALSE),""))</f>
        <v/>
      </c>
    </row>
    <row r="139" ht="24.0" customHeight="1">
      <c r="A139" s="78"/>
      <c r="B139" s="99"/>
      <c r="C139" s="78"/>
      <c r="D139" s="99"/>
      <c r="E139" s="78"/>
      <c r="F139" s="104"/>
      <c r="G139" s="99"/>
      <c r="H139" s="99"/>
      <c r="I139" s="65"/>
      <c r="J139" s="65"/>
      <c r="K139" s="78"/>
      <c r="L139" s="54" t="str">
        <f>IF(OR(F139="",G139=""),"",IFERROR(F139*VLOOKUP(G139,Setup!$A$38:$E$52,5,FALSE),""))</f>
        <v/>
      </c>
      <c r="M139" s="54" t="str">
        <f>IF(L139="","",IFERROR(L139/VLOOKUP("EUR",Setup!$A$38:$E$52,5,FALSE),""))</f>
        <v/>
      </c>
      <c r="N139" s="54" t="str">
        <f>IF(L139="","",IFERROR(L139/VLOOKUP("USD",Setup!$A$38:$E$52,5,FALSE),""))</f>
        <v/>
      </c>
    </row>
    <row r="140" ht="24.0" customHeight="1">
      <c r="A140" s="78"/>
      <c r="B140" s="99"/>
      <c r="C140" s="78"/>
      <c r="D140" s="99"/>
      <c r="E140" s="78"/>
      <c r="F140" s="104"/>
      <c r="G140" s="99"/>
      <c r="H140" s="99"/>
      <c r="I140" s="65"/>
      <c r="J140" s="65"/>
      <c r="K140" s="78"/>
      <c r="L140" s="54" t="str">
        <f>IF(OR(F140="",G140=""),"",IFERROR(F140*VLOOKUP(G140,Setup!$A$38:$E$52,5,FALSE),""))</f>
        <v/>
      </c>
      <c r="M140" s="54" t="str">
        <f>IF(L140="","",IFERROR(L140/VLOOKUP("EUR",Setup!$A$38:$E$52,5,FALSE),""))</f>
        <v/>
      </c>
      <c r="N140" s="54" t="str">
        <f>IF(L140="","",IFERROR(L140/VLOOKUP("USD",Setup!$A$38:$E$52,5,FALSE),""))</f>
        <v/>
      </c>
    </row>
    <row r="141" ht="24.0" customHeight="1">
      <c r="A141" s="78"/>
      <c r="B141" s="99"/>
      <c r="C141" s="78"/>
      <c r="D141" s="99"/>
      <c r="E141" s="78"/>
      <c r="F141" s="104"/>
      <c r="G141" s="99"/>
      <c r="H141" s="99"/>
      <c r="I141" s="65"/>
      <c r="J141" s="65"/>
      <c r="K141" s="78"/>
      <c r="L141" s="54" t="str">
        <f>IF(OR(F141="",G141=""),"",IFERROR(F141*VLOOKUP(G141,Setup!$A$38:$E$52,5,FALSE),""))</f>
        <v/>
      </c>
      <c r="M141" s="54" t="str">
        <f>IF(L141="","",IFERROR(L141/VLOOKUP("EUR",Setup!$A$38:$E$52,5,FALSE),""))</f>
        <v/>
      </c>
      <c r="N141" s="54" t="str">
        <f>IF(L141="","",IFERROR(L141/VLOOKUP("USD",Setup!$A$38:$E$52,5,FALSE),""))</f>
        <v/>
      </c>
    </row>
    <row r="142" ht="24.0" customHeight="1">
      <c r="A142" s="78"/>
      <c r="B142" s="99"/>
      <c r="C142" s="78"/>
      <c r="D142" s="99"/>
      <c r="E142" s="78"/>
      <c r="F142" s="104"/>
      <c r="G142" s="99"/>
      <c r="H142" s="99"/>
      <c r="I142" s="65"/>
      <c r="J142" s="65"/>
      <c r="K142" s="78"/>
      <c r="L142" s="54" t="str">
        <f>IF(OR(F142="",G142=""),"",IFERROR(F142*VLOOKUP(G142,Setup!$A$38:$E$52,5,FALSE),""))</f>
        <v/>
      </c>
      <c r="M142" s="54" t="str">
        <f>IF(L142="","",IFERROR(L142/VLOOKUP("EUR",Setup!$A$38:$E$52,5,FALSE),""))</f>
        <v/>
      </c>
      <c r="N142" s="54" t="str">
        <f>IF(L142="","",IFERROR(L142/VLOOKUP("USD",Setup!$A$38:$E$52,5,FALSE),""))</f>
        <v/>
      </c>
    </row>
    <row r="143" ht="24.0" customHeight="1">
      <c r="A143" s="78"/>
      <c r="B143" s="99"/>
      <c r="C143" s="78"/>
      <c r="D143" s="99"/>
      <c r="E143" s="78"/>
      <c r="F143" s="104"/>
      <c r="G143" s="99"/>
      <c r="H143" s="99"/>
      <c r="I143" s="65"/>
      <c r="J143" s="65"/>
      <c r="K143" s="78"/>
      <c r="L143" s="54" t="str">
        <f>IF(OR(F143="",G143=""),"",IFERROR(F143*VLOOKUP(G143,Setup!$A$38:$E$52,5,FALSE),""))</f>
        <v/>
      </c>
      <c r="M143" s="54" t="str">
        <f>IF(L143="","",IFERROR(L143/VLOOKUP("EUR",Setup!$A$38:$E$52,5,FALSE),""))</f>
        <v/>
      </c>
      <c r="N143" s="54" t="str">
        <f>IF(L143="","",IFERROR(L143/VLOOKUP("USD",Setup!$A$38:$E$52,5,FALSE),""))</f>
        <v/>
      </c>
    </row>
    <row r="144" ht="24.0" customHeight="1">
      <c r="A144" s="78"/>
      <c r="B144" s="99"/>
      <c r="C144" s="78"/>
      <c r="D144" s="99"/>
      <c r="E144" s="78"/>
      <c r="F144" s="104"/>
      <c r="G144" s="99"/>
      <c r="H144" s="99"/>
      <c r="I144" s="65"/>
      <c r="J144" s="65"/>
      <c r="K144" s="78"/>
      <c r="L144" s="54" t="str">
        <f>IF(OR(F144="",G144=""),"",IFERROR(F144*VLOOKUP(G144,Setup!$A$38:$E$52,5,FALSE),""))</f>
        <v/>
      </c>
      <c r="M144" s="54" t="str">
        <f>IF(L144="","",IFERROR(L144/VLOOKUP("EUR",Setup!$A$38:$E$52,5,FALSE),""))</f>
        <v/>
      </c>
      <c r="N144" s="54" t="str">
        <f>IF(L144="","",IFERROR(L144/VLOOKUP("USD",Setup!$A$38:$E$52,5,FALSE),""))</f>
        <v/>
      </c>
    </row>
    <row r="145" ht="24.0" customHeight="1">
      <c r="A145" s="78"/>
      <c r="B145" s="99"/>
      <c r="C145" s="78"/>
      <c r="D145" s="99"/>
      <c r="E145" s="78"/>
      <c r="F145" s="104"/>
      <c r="G145" s="99"/>
      <c r="H145" s="99"/>
      <c r="I145" s="65"/>
      <c r="J145" s="65"/>
      <c r="K145" s="78"/>
      <c r="L145" s="54" t="str">
        <f>IF(OR(F145="",G145=""),"",IFERROR(F145*VLOOKUP(G145,Setup!$A$38:$E$52,5,FALSE),""))</f>
        <v/>
      </c>
      <c r="M145" s="54" t="str">
        <f>IF(L145="","",IFERROR(L145/VLOOKUP("EUR",Setup!$A$38:$E$52,5,FALSE),""))</f>
        <v/>
      </c>
      <c r="N145" s="54" t="str">
        <f>IF(L145="","",IFERROR(L145/VLOOKUP("USD",Setup!$A$38:$E$52,5,FALSE),""))</f>
        <v/>
      </c>
    </row>
    <row r="146" ht="24.0" customHeight="1">
      <c r="A146" s="78"/>
      <c r="B146" s="99"/>
      <c r="C146" s="78"/>
      <c r="D146" s="99"/>
      <c r="E146" s="78"/>
      <c r="F146" s="104"/>
      <c r="G146" s="99"/>
      <c r="H146" s="99"/>
      <c r="I146" s="65"/>
      <c r="J146" s="65"/>
      <c r="K146" s="78"/>
      <c r="L146" s="54" t="str">
        <f>IF(OR(F146="",G146=""),"",IFERROR(F146*VLOOKUP(G146,Setup!$A$38:$E$52,5,FALSE),""))</f>
        <v/>
      </c>
      <c r="M146" s="54" t="str">
        <f>IF(L146="","",IFERROR(L146/VLOOKUP("EUR",Setup!$A$38:$E$52,5,FALSE),""))</f>
        <v/>
      </c>
      <c r="N146" s="54" t="str">
        <f>IF(L146="","",IFERROR(L146/VLOOKUP("USD",Setup!$A$38:$E$52,5,FALSE),""))</f>
        <v/>
      </c>
    </row>
    <row r="147" ht="24.0" customHeight="1">
      <c r="A147" s="78"/>
      <c r="B147" s="99"/>
      <c r="C147" s="78"/>
      <c r="D147" s="99"/>
      <c r="E147" s="78"/>
      <c r="F147" s="104"/>
      <c r="G147" s="99"/>
      <c r="H147" s="99"/>
      <c r="I147" s="65"/>
      <c r="J147" s="65"/>
      <c r="K147" s="78"/>
      <c r="L147" s="54" t="str">
        <f>IF(OR(F147="",G147=""),"",IFERROR(F147*VLOOKUP(G147,Setup!$A$38:$E$52,5,FALSE),""))</f>
        <v/>
      </c>
      <c r="M147" s="54" t="str">
        <f>IF(L147="","",IFERROR(L147/VLOOKUP("EUR",Setup!$A$38:$E$52,5,FALSE),""))</f>
        <v/>
      </c>
      <c r="N147" s="54" t="str">
        <f>IF(L147="","",IFERROR(L147/VLOOKUP("USD",Setup!$A$38:$E$52,5,FALSE),""))</f>
        <v/>
      </c>
    </row>
    <row r="148" ht="24.0" customHeight="1">
      <c r="A148" s="78"/>
      <c r="B148" s="99"/>
      <c r="C148" s="78"/>
      <c r="D148" s="99"/>
      <c r="E148" s="78"/>
      <c r="F148" s="104"/>
      <c r="G148" s="99"/>
      <c r="H148" s="99"/>
      <c r="I148" s="65"/>
      <c r="J148" s="65"/>
      <c r="K148" s="78"/>
      <c r="L148" s="54" t="str">
        <f>IF(OR(F148="",G148=""),"",IFERROR(F148*VLOOKUP(G148,Setup!$A$38:$E$52,5,FALSE),""))</f>
        <v/>
      </c>
      <c r="M148" s="54" t="str">
        <f>IF(L148="","",IFERROR(L148/VLOOKUP("EUR",Setup!$A$38:$E$52,5,FALSE),""))</f>
        <v/>
      </c>
      <c r="N148" s="54" t="str">
        <f>IF(L148="","",IFERROR(L148/VLOOKUP("USD",Setup!$A$38:$E$52,5,FALSE),""))</f>
        <v/>
      </c>
    </row>
    <row r="149" ht="24.0" customHeight="1">
      <c r="A149" s="78"/>
      <c r="B149" s="99"/>
      <c r="C149" s="78"/>
      <c r="D149" s="99"/>
      <c r="E149" s="78"/>
      <c r="F149" s="104"/>
      <c r="G149" s="99"/>
      <c r="H149" s="99"/>
      <c r="I149" s="65"/>
      <c r="J149" s="65"/>
      <c r="K149" s="78"/>
      <c r="L149" s="54" t="str">
        <f>IF(OR(F149="",G149=""),"",IFERROR(F149*VLOOKUP(G149,Setup!$A$38:$E$52,5,FALSE),""))</f>
        <v/>
      </c>
      <c r="M149" s="54" t="str">
        <f>IF(L149="","",IFERROR(L149/VLOOKUP("EUR",Setup!$A$38:$E$52,5,FALSE),""))</f>
        <v/>
      </c>
      <c r="N149" s="54" t="str">
        <f>IF(L149="","",IFERROR(L149/VLOOKUP("USD",Setup!$A$38:$E$52,5,FALSE),""))</f>
        <v/>
      </c>
    </row>
    <row r="150" ht="24.0" customHeight="1">
      <c r="A150" s="78"/>
      <c r="B150" s="99"/>
      <c r="C150" s="78"/>
      <c r="D150" s="99"/>
      <c r="E150" s="78"/>
      <c r="F150" s="104"/>
      <c r="G150" s="99"/>
      <c r="H150" s="99"/>
      <c r="I150" s="65"/>
      <c r="J150" s="65"/>
      <c r="K150" s="78"/>
      <c r="L150" s="54" t="str">
        <f>IF(OR(F150="",G150=""),"",IFERROR(F150*VLOOKUP(G150,Setup!$A$38:$E$52,5,FALSE),""))</f>
        <v/>
      </c>
      <c r="M150" s="54" t="str">
        <f>IF(L150="","",IFERROR(L150/VLOOKUP("EUR",Setup!$A$38:$E$52,5,FALSE),""))</f>
        <v/>
      </c>
      <c r="N150" s="54" t="str">
        <f>IF(L150="","",IFERROR(L150/VLOOKUP("USD",Setup!$A$38:$E$52,5,FALSE),""))</f>
        <v/>
      </c>
    </row>
    <row r="151" ht="24.0" customHeight="1">
      <c r="A151" s="78"/>
      <c r="B151" s="99"/>
      <c r="C151" s="78"/>
      <c r="D151" s="99"/>
      <c r="E151" s="78"/>
      <c r="F151" s="104"/>
      <c r="G151" s="99"/>
      <c r="H151" s="99"/>
      <c r="I151" s="65"/>
      <c r="J151" s="65"/>
      <c r="K151" s="78"/>
      <c r="L151" s="54" t="str">
        <f>IF(OR(F151="",G151=""),"",IFERROR(F151*VLOOKUP(G151,Setup!$A$38:$E$52,5,FALSE),""))</f>
        <v/>
      </c>
      <c r="M151" s="54" t="str">
        <f>IF(L151="","",IFERROR(L151/VLOOKUP("EUR",Setup!$A$38:$E$52,5,FALSE),""))</f>
        <v/>
      </c>
      <c r="N151" s="54" t="str">
        <f>IF(L151="","",IFERROR(L151/VLOOKUP("USD",Setup!$A$38:$E$52,5,FALSE),""))</f>
        <v/>
      </c>
    </row>
    <row r="152" ht="24.0" customHeight="1">
      <c r="A152" s="78"/>
      <c r="B152" s="99"/>
      <c r="C152" s="78"/>
      <c r="D152" s="99"/>
      <c r="E152" s="78"/>
      <c r="F152" s="104"/>
      <c r="G152" s="99"/>
      <c r="H152" s="99"/>
      <c r="I152" s="65"/>
      <c r="J152" s="65"/>
      <c r="K152" s="78"/>
      <c r="L152" s="54" t="str">
        <f>IF(OR(F152="",G152=""),"",IFERROR(F152*VLOOKUP(G152,Setup!$A$38:$E$52,5,FALSE),""))</f>
        <v/>
      </c>
      <c r="M152" s="54" t="str">
        <f>IF(L152="","",IFERROR(L152/VLOOKUP("EUR",Setup!$A$38:$E$52,5,FALSE),""))</f>
        <v/>
      </c>
      <c r="N152" s="54" t="str">
        <f>IF(L152="","",IFERROR(L152/VLOOKUP("USD",Setup!$A$38:$E$52,5,FALSE),""))</f>
        <v/>
      </c>
    </row>
    <row r="153" ht="24.0" customHeight="1">
      <c r="A153" s="78"/>
      <c r="B153" s="99"/>
      <c r="C153" s="78"/>
      <c r="D153" s="99"/>
      <c r="E153" s="78"/>
      <c r="F153" s="104"/>
      <c r="G153" s="99"/>
      <c r="H153" s="99"/>
      <c r="I153" s="65"/>
      <c r="J153" s="65"/>
      <c r="K153" s="78"/>
      <c r="L153" s="54" t="str">
        <f>IF(OR(F153="",G153=""),"",IFERROR(F153*VLOOKUP(G153,Setup!$A$38:$E$52,5,FALSE),""))</f>
        <v/>
      </c>
      <c r="M153" s="54" t="str">
        <f>IF(L153="","",IFERROR(L153/VLOOKUP("EUR",Setup!$A$38:$E$52,5,FALSE),""))</f>
        <v/>
      </c>
      <c r="N153" s="54" t="str">
        <f>IF(L153="","",IFERROR(L153/VLOOKUP("USD",Setup!$A$38:$E$52,5,FALSE),""))</f>
        <v/>
      </c>
    </row>
    <row r="154" ht="24.0" customHeight="1">
      <c r="A154" s="78"/>
      <c r="B154" s="99"/>
      <c r="C154" s="78"/>
      <c r="D154" s="99"/>
      <c r="E154" s="78"/>
      <c r="F154" s="104"/>
      <c r="G154" s="99"/>
      <c r="H154" s="99"/>
      <c r="I154" s="65"/>
      <c r="J154" s="65"/>
      <c r="K154" s="78"/>
      <c r="L154" s="54" t="str">
        <f>IF(OR(F154="",G154=""),"",IFERROR(F154*VLOOKUP(G154,Setup!$A$38:$E$52,5,FALSE),""))</f>
        <v/>
      </c>
      <c r="M154" s="54" t="str">
        <f>IF(L154="","",IFERROR(L154/VLOOKUP("EUR",Setup!$A$38:$E$52,5,FALSE),""))</f>
        <v/>
      </c>
      <c r="N154" s="54" t="str">
        <f>IF(L154="","",IFERROR(L154/VLOOKUP("USD",Setup!$A$38:$E$52,5,FALSE),""))</f>
        <v/>
      </c>
    </row>
    <row r="155" ht="24.0" customHeight="1">
      <c r="A155" s="78"/>
      <c r="B155" s="99"/>
      <c r="C155" s="78"/>
      <c r="D155" s="99"/>
      <c r="E155" s="78"/>
      <c r="F155" s="104"/>
      <c r="G155" s="99"/>
      <c r="H155" s="99"/>
      <c r="I155" s="65"/>
      <c r="J155" s="65"/>
      <c r="K155" s="78"/>
      <c r="L155" s="54" t="str">
        <f>IF(OR(F155="",G155=""),"",IFERROR(F155*VLOOKUP(G155,Setup!$A$38:$E$52,5,FALSE),""))</f>
        <v/>
      </c>
      <c r="M155" s="54" t="str">
        <f>IF(L155="","",IFERROR(L155/VLOOKUP("EUR",Setup!$A$38:$E$52,5,FALSE),""))</f>
        <v/>
      </c>
      <c r="N155" s="54" t="str">
        <f>IF(L155="","",IFERROR(L155/VLOOKUP("USD",Setup!$A$38:$E$52,5,FALSE),""))</f>
        <v/>
      </c>
    </row>
    <row r="156" ht="24.0" customHeight="1">
      <c r="A156" s="78"/>
      <c r="B156" s="99"/>
      <c r="C156" s="78"/>
      <c r="D156" s="99"/>
      <c r="E156" s="78"/>
      <c r="F156" s="104"/>
      <c r="G156" s="99"/>
      <c r="H156" s="99"/>
      <c r="I156" s="65"/>
      <c r="J156" s="65"/>
      <c r="K156" s="78"/>
      <c r="L156" s="54" t="str">
        <f>IF(OR(F156="",G156=""),"",IFERROR(F156*VLOOKUP(G156,Setup!$A$38:$E$52,5,FALSE),""))</f>
        <v/>
      </c>
      <c r="M156" s="54" t="str">
        <f>IF(L156="","",IFERROR(L156/VLOOKUP("EUR",Setup!$A$38:$E$52,5,FALSE),""))</f>
        <v/>
      </c>
      <c r="N156" s="54" t="str">
        <f>IF(L156="","",IFERROR(L156/VLOOKUP("USD",Setup!$A$38:$E$52,5,FALSE),""))</f>
        <v/>
      </c>
    </row>
    <row r="157" ht="24.0" customHeight="1">
      <c r="A157" s="78"/>
      <c r="B157" s="99"/>
      <c r="C157" s="78"/>
      <c r="D157" s="99"/>
      <c r="E157" s="78"/>
      <c r="F157" s="104"/>
      <c r="G157" s="99"/>
      <c r="H157" s="99"/>
      <c r="I157" s="65"/>
      <c r="J157" s="65"/>
      <c r="K157" s="78"/>
      <c r="L157" s="54" t="str">
        <f>IF(OR(F157="",G157=""),"",IFERROR(F157*VLOOKUP(G157,Setup!$A$38:$E$52,5,FALSE),""))</f>
        <v/>
      </c>
      <c r="M157" s="54" t="str">
        <f>IF(L157="","",IFERROR(L157/VLOOKUP("EUR",Setup!$A$38:$E$52,5,FALSE),""))</f>
        <v/>
      </c>
      <c r="N157" s="54" t="str">
        <f>IF(L157="","",IFERROR(L157/VLOOKUP("USD",Setup!$A$38:$E$52,5,FALSE),""))</f>
        <v/>
      </c>
    </row>
    <row r="158" ht="24.0" customHeight="1">
      <c r="A158" s="78"/>
      <c r="B158" s="99"/>
      <c r="C158" s="78"/>
      <c r="D158" s="99"/>
      <c r="E158" s="78"/>
      <c r="F158" s="104"/>
      <c r="G158" s="99"/>
      <c r="H158" s="99"/>
      <c r="I158" s="65"/>
      <c r="J158" s="65"/>
      <c r="K158" s="78"/>
      <c r="L158" s="54" t="str">
        <f>IF(OR(F158="",G158=""),"",IFERROR(F158*VLOOKUP(G158,Setup!$A$38:$E$52,5,FALSE),""))</f>
        <v/>
      </c>
      <c r="M158" s="54" t="str">
        <f>IF(L158="","",IFERROR(L158/VLOOKUP("EUR",Setup!$A$38:$E$52,5,FALSE),""))</f>
        <v/>
      </c>
      <c r="N158" s="54" t="str">
        <f>IF(L158="","",IFERROR(L158/VLOOKUP("USD",Setup!$A$38:$E$52,5,FALSE),""))</f>
        <v/>
      </c>
    </row>
    <row r="159" ht="24.0" customHeight="1">
      <c r="A159" s="78"/>
      <c r="B159" s="99"/>
      <c r="C159" s="78"/>
      <c r="D159" s="99"/>
      <c r="E159" s="78"/>
      <c r="F159" s="104"/>
      <c r="G159" s="99"/>
      <c r="H159" s="99"/>
      <c r="I159" s="65"/>
      <c r="J159" s="65"/>
      <c r="K159" s="78"/>
      <c r="L159" s="54" t="str">
        <f>IF(OR(F159="",G159=""),"",IFERROR(F159*VLOOKUP(G159,Setup!$A$38:$E$52,5,FALSE),""))</f>
        <v/>
      </c>
      <c r="M159" s="54" t="str">
        <f>IF(L159="","",IFERROR(L159/VLOOKUP("EUR",Setup!$A$38:$E$52,5,FALSE),""))</f>
        <v/>
      </c>
      <c r="N159" s="54" t="str">
        <f>IF(L159="","",IFERROR(L159/VLOOKUP("USD",Setup!$A$38:$E$52,5,FALSE),""))</f>
        <v/>
      </c>
    </row>
    <row r="160" ht="24.0" customHeight="1">
      <c r="A160" s="78"/>
      <c r="B160" s="99"/>
      <c r="C160" s="78"/>
      <c r="D160" s="99"/>
      <c r="E160" s="78"/>
      <c r="F160" s="104"/>
      <c r="G160" s="99"/>
      <c r="H160" s="99"/>
      <c r="I160" s="65"/>
      <c r="J160" s="65"/>
      <c r="K160" s="78"/>
      <c r="L160" s="54" t="str">
        <f>IF(OR(F160="",G160=""),"",IFERROR(F160*VLOOKUP(G160,Setup!$A$38:$E$52,5,FALSE),""))</f>
        <v/>
      </c>
      <c r="M160" s="54" t="str">
        <f>IF(L160="","",IFERROR(L160/VLOOKUP("EUR",Setup!$A$38:$E$52,5,FALSE),""))</f>
        <v/>
      </c>
      <c r="N160" s="54" t="str">
        <f>IF(L160="","",IFERROR(L160/VLOOKUP("USD",Setup!$A$38:$E$52,5,FALSE),""))</f>
        <v/>
      </c>
    </row>
    <row r="161" ht="24.0" customHeight="1">
      <c r="A161" s="78"/>
      <c r="B161" s="99"/>
      <c r="C161" s="78"/>
      <c r="D161" s="99"/>
      <c r="E161" s="78"/>
      <c r="F161" s="104"/>
      <c r="G161" s="99"/>
      <c r="H161" s="99"/>
      <c r="I161" s="65"/>
      <c r="J161" s="65"/>
      <c r="K161" s="78"/>
      <c r="L161" s="54" t="str">
        <f>IF(OR(F161="",G161=""),"",IFERROR(F161*VLOOKUP(G161,Setup!$A$38:$E$52,5,FALSE),""))</f>
        <v/>
      </c>
      <c r="M161" s="54" t="str">
        <f>IF(L161="","",IFERROR(L161/VLOOKUP("EUR",Setup!$A$38:$E$52,5,FALSE),""))</f>
        <v/>
      </c>
      <c r="N161" s="54" t="str">
        <f>IF(L161="","",IFERROR(L161/VLOOKUP("USD",Setup!$A$38:$E$52,5,FALSE),""))</f>
        <v/>
      </c>
    </row>
    <row r="162" ht="24.0" customHeight="1">
      <c r="A162" s="78"/>
      <c r="B162" s="99"/>
      <c r="C162" s="78"/>
      <c r="D162" s="99"/>
      <c r="E162" s="78"/>
      <c r="F162" s="104"/>
      <c r="G162" s="99"/>
      <c r="H162" s="99"/>
      <c r="I162" s="65"/>
      <c r="J162" s="65"/>
      <c r="K162" s="78"/>
      <c r="L162" s="54" t="str">
        <f>IF(OR(F162="",G162=""),"",IFERROR(F162*VLOOKUP(G162,Setup!$A$38:$E$52,5,FALSE),""))</f>
        <v/>
      </c>
      <c r="M162" s="54" t="str">
        <f>IF(L162="","",IFERROR(L162/VLOOKUP("EUR",Setup!$A$38:$E$52,5,FALSE),""))</f>
        <v/>
      </c>
      <c r="N162" s="54" t="str">
        <f>IF(L162="","",IFERROR(L162/VLOOKUP("USD",Setup!$A$38:$E$52,5,FALSE),""))</f>
        <v/>
      </c>
    </row>
    <row r="163" ht="24.0" customHeight="1">
      <c r="A163" s="78"/>
      <c r="B163" s="99"/>
      <c r="C163" s="78"/>
      <c r="D163" s="99"/>
      <c r="E163" s="78"/>
      <c r="F163" s="104"/>
      <c r="G163" s="99"/>
      <c r="H163" s="99"/>
      <c r="I163" s="65"/>
      <c r="J163" s="65"/>
      <c r="K163" s="78"/>
      <c r="L163" s="54" t="str">
        <f>IF(OR(F163="",G163=""),"",IFERROR(F163*VLOOKUP(G163,Setup!$A$38:$E$52,5,FALSE),""))</f>
        <v/>
      </c>
      <c r="M163" s="54" t="str">
        <f>IF(L163="","",IFERROR(L163/VLOOKUP("EUR",Setup!$A$38:$E$52,5,FALSE),""))</f>
        <v/>
      </c>
      <c r="N163" s="54" t="str">
        <f>IF(L163="","",IFERROR(L163/VLOOKUP("USD",Setup!$A$38:$E$52,5,FALSE),""))</f>
        <v/>
      </c>
    </row>
    <row r="164" ht="24.0" customHeight="1">
      <c r="A164" s="78"/>
      <c r="B164" s="99"/>
      <c r="C164" s="78"/>
      <c r="D164" s="99"/>
      <c r="E164" s="78"/>
      <c r="F164" s="104"/>
      <c r="G164" s="99"/>
      <c r="H164" s="99"/>
      <c r="I164" s="65"/>
      <c r="J164" s="65"/>
      <c r="K164" s="78"/>
      <c r="L164" s="54" t="str">
        <f>IF(OR(F164="",G164=""),"",IFERROR(F164*VLOOKUP(G164,Setup!$A$38:$E$52,5,FALSE),""))</f>
        <v/>
      </c>
      <c r="M164" s="54" t="str">
        <f>IF(L164="","",IFERROR(L164/VLOOKUP("EUR",Setup!$A$38:$E$52,5,FALSE),""))</f>
        <v/>
      </c>
      <c r="N164" s="54" t="str">
        <f>IF(L164="","",IFERROR(L164/VLOOKUP("USD",Setup!$A$38:$E$52,5,FALSE),""))</f>
        <v/>
      </c>
    </row>
    <row r="165" ht="24.0" customHeight="1">
      <c r="A165" s="78"/>
      <c r="B165" s="99"/>
      <c r="C165" s="78"/>
      <c r="D165" s="99"/>
      <c r="E165" s="78"/>
      <c r="F165" s="104"/>
      <c r="G165" s="99"/>
      <c r="H165" s="99"/>
      <c r="I165" s="65"/>
      <c r="J165" s="65"/>
      <c r="K165" s="78"/>
      <c r="L165" s="54" t="str">
        <f>IF(OR(F165="",G165=""),"",IFERROR(F165*VLOOKUP(G165,Setup!$A$38:$E$52,5,FALSE),""))</f>
        <v/>
      </c>
      <c r="M165" s="54" t="str">
        <f>IF(L165="","",IFERROR(L165/VLOOKUP("EUR",Setup!$A$38:$E$52,5,FALSE),""))</f>
        <v/>
      </c>
      <c r="N165" s="54" t="str">
        <f>IF(L165="","",IFERROR(L165/VLOOKUP("USD",Setup!$A$38:$E$52,5,FALSE),""))</f>
        <v/>
      </c>
    </row>
    <row r="166" ht="24.0" customHeight="1">
      <c r="A166" s="78"/>
      <c r="B166" s="99"/>
      <c r="C166" s="78"/>
      <c r="D166" s="99"/>
      <c r="E166" s="78"/>
      <c r="F166" s="104"/>
      <c r="G166" s="99"/>
      <c r="H166" s="99"/>
      <c r="I166" s="65"/>
      <c r="J166" s="65"/>
      <c r="K166" s="78"/>
      <c r="L166" s="54" t="str">
        <f>IF(OR(F166="",G166=""),"",IFERROR(F166*VLOOKUP(G166,Setup!$A$38:$E$52,5,FALSE),""))</f>
        <v/>
      </c>
      <c r="M166" s="54" t="str">
        <f>IF(L166="","",IFERROR(L166/VLOOKUP("EUR",Setup!$A$38:$E$52,5,FALSE),""))</f>
        <v/>
      </c>
      <c r="N166" s="54" t="str">
        <f>IF(L166="","",IFERROR(L166/VLOOKUP("USD",Setup!$A$38:$E$52,5,FALSE),""))</f>
        <v/>
      </c>
    </row>
    <row r="167" ht="24.0" customHeight="1">
      <c r="A167" s="78"/>
      <c r="B167" s="99"/>
      <c r="C167" s="78"/>
      <c r="D167" s="99"/>
      <c r="E167" s="78"/>
      <c r="F167" s="104"/>
      <c r="G167" s="99"/>
      <c r="H167" s="99"/>
      <c r="I167" s="65"/>
      <c r="J167" s="65"/>
      <c r="K167" s="78"/>
      <c r="L167" s="54" t="str">
        <f>IF(OR(F167="",G167=""),"",IFERROR(F167*VLOOKUP(G167,Setup!$A$38:$E$52,5,FALSE),""))</f>
        <v/>
      </c>
      <c r="M167" s="54" t="str">
        <f>IF(L167="","",IFERROR(L167/VLOOKUP("EUR",Setup!$A$38:$E$52,5,FALSE),""))</f>
        <v/>
      </c>
      <c r="N167" s="54" t="str">
        <f>IF(L167="","",IFERROR(L167/VLOOKUP("USD",Setup!$A$38:$E$52,5,FALSE),""))</f>
        <v/>
      </c>
    </row>
    <row r="168" ht="24.0" customHeight="1">
      <c r="A168" s="78"/>
      <c r="B168" s="99"/>
      <c r="C168" s="78"/>
      <c r="D168" s="99"/>
      <c r="E168" s="78"/>
      <c r="F168" s="104"/>
      <c r="G168" s="99"/>
      <c r="H168" s="99"/>
      <c r="I168" s="65"/>
      <c r="J168" s="65"/>
      <c r="K168" s="78"/>
      <c r="L168" s="54" t="str">
        <f>IF(OR(F168="",G168=""),"",IFERROR(F168*VLOOKUP(G168,Setup!$A$38:$E$52,5,FALSE),""))</f>
        <v/>
      </c>
      <c r="M168" s="54" t="str">
        <f>IF(L168="","",IFERROR(L168/VLOOKUP("EUR",Setup!$A$38:$E$52,5,FALSE),""))</f>
        <v/>
      </c>
      <c r="N168" s="54" t="str">
        <f>IF(L168="","",IFERROR(L168/VLOOKUP("USD",Setup!$A$38:$E$52,5,FALSE),""))</f>
        <v/>
      </c>
    </row>
    <row r="169" ht="24.0" customHeight="1">
      <c r="A169" s="78"/>
      <c r="B169" s="99"/>
      <c r="C169" s="78"/>
      <c r="D169" s="99"/>
      <c r="E169" s="78"/>
      <c r="F169" s="104"/>
      <c r="G169" s="99"/>
      <c r="H169" s="99"/>
      <c r="I169" s="65"/>
      <c r="J169" s="65"/>
      <c r="K169" s="78"/>
      <c r="L169" s="54" t="str">
        <f>IF(OR(F169="",G169=""),"",IFERROR(F169*VLOOKUP(G169,Setup!$A$38:$E$52,5,FALSE),""))</f>
        <v/>
      </c>
      <c r="M169" s="54" t="str">
        <f>IF(L169="","",IFERROR(L169/VLOOKUP("EUR",Setup!$A$38:$E$52,5,FALSE),""))</f>
        <v/>
      </c>
      <c r="N169" s="54" t="str">
        <f>IF(L169="","",IFERROR(L169/VLOOKUP("USD",Setup!$A$38:$E$52,5,FALSE),""))</f>
        <v/>
      </c>
    </row>
    <row r="170" ht="24.0" customHeight="1">
      <c r="A170" s="78"/>
      <c r="B170" s="99"/>
      <c r="C170" s="78"/>
      <c r="D170" s="99"/>
      <c r="E170" s="78"/>
      <c r="F170" s="104"/>
      <c r="G170" s="99"/>
      <c r="H170" s="99"/>
      <c r="I170" s="65"/>
      <c r="J170" s="65"/>
      <c r="K170" s="78"/>
      <c r="L170" s="54" t="str">
        <f>IF(OR(F170="",G170=""),"",IFERROR(F170*VLOOKUP(G170,Setup!$A$38:$E$52,5,FALSE),""))</f>
        <v/>
      </c>
      <c r="M170" s="54" t="str">
        <f>IF(L170="","",IFERROR(L170/VLOOKUP("EUR",Setup!$A$38:$E$52,5,FALSE),""))</f>
        <v/>
      </c>
      <c r="N170" s="54" t="str">
        <f>IF(L170="","",IFERROR(L170/VLOOKUP("USD",Setup!$A$38:$E$52,5,FALSE),""))</f>
        <v/>
      </c>
    </row>
    <row r="171" ht="24.0" customHeight="1">
      <c r="A171" s="78"/>
      <c r="B171" s="99"/>
      <c r="C171" s="78"/>
      <c r="D171" s="99"/>
      <c r="E171" s="78"/>
      <c r="F171" s="104"/>
      <c r="G171" s="99"/>
      <c r="H171" s="99"/>
      <c r="I171" s="65"/>
      <c r="J171" s="65"/>
      <c r="K171" s="78"/>
      <c r="L171" s="54" t="str">
        <f>IF(OR(F171="",G171=""),"",IFERROR(F171*VLOOKUP(G171,Setup!$A$38:$E$52,5,FALSE),""))</f>
        <v/>
      </c>
      <c r="M171" s="54" t="str">
        <f>IF(L171="","",IFERROR(L171/VLOOKUP("EUR",Setup!$A$38:$E$52,5,FALSE),""))</f>
        <v/>
      </c>
      <c r="N171" s="54" t="str">
        <f>IF(L171="","",IFERROR(L171/VLOOKUP("USD",Setup!$A$38:$E$52,5,FALSE),""))</f>
        <v/>
      </c>
    </row>
    <row r="172" ht="24.0" customHeight="1">
      <c r="A172" s="78"/>
      <c r="B172" s="99"/>
      <c r="C172" s="78"/>
      <c r="D172" s="99"/>
      <c r="E172" s="78"/>
      <c r="F172" s="104"/>
      <c r="G172" s="99"/>
      <c r="H172" s="99"/>
      <c r="I172" s="65"/>
      <c r="J172" s="65"/>
      <c r="K172" s="78"/>
      <c r="L172" s="54" t="str">
        <f>IF(OR(F172="",G172=""),"",IFERROR(F172*VLOOKUP(G172,Setup!$A$38:$E$52,5,FALSE),""))</f>
        <v/>
      </c>
      <c r="M172" s="54" t="str">
        <f>IF(L172="","",IFERROR(L172/VLOOKUP("EUR",Setup!$A$38:$E$52,5,FALSE),""))</f>
        <v/>
      </c>
      <c r="N172" s="54" t="str">
        <f>IF(L172="","",IFERROR(L172/VLOOKUP("USD",Setup!$A$38:$E$52,5,FALSE),""))</f>
        <v/>
      </c>
    </row>
    <row r="173" ht="24.0" customHeight="1">
      <c r="A173" s="78"/>
      <c r="B173" s="99"/>
      <c r="C173" s="78"/>
      <c r="D173" s="99"/>
      <c r="E173" s="78"/>
      <c r="F173" s="104"/>
      <c r="G173" s="99"/>
      <c r="H173" s="99"/>
      <c r="I173" s="65"/>
      <c r="J173" s="65"/>
      <c r="K173" s="78"/>
      <c r="L173" s="54" t="str">
        <f>IF(OR(F173="",G173=""),"",IFERROR(F173*VLOOKUP(G173,Setup!$A$38:$E$52,5,FALSE),""))</f>
        <v/>
      </c>
      <c r="M173" s="54" t="str">
        <f>IF(L173="","",IFERROR(L173/VLOOKUP("EUR",Setup!$A$38:$E$52,5,FALSE),""))</f>
        <v/>
      </c>
      <c r="N173" s="54" t="str">
        <f>IF(L173="","",IFERROR(L173/VLOOKUP("USD",Setup!$A$38:$E$52,5,FALSE),""))</f>
        <v/>
      </c>
    </row>
    <row r="174" ht="24.0" customHeight="1">
      <c r="A174" s="78"/>
      <c r="B174" s="99"/>
      <c r="C174" s="78"/>
      <c r="D174" s="99"/>
      <c r="E174" s="78"/>
      <c r="F174" s="104"/>
      <c r="G174" s="99"/>
      <c r="H174" s="99"/>
      <c r="I174" s="65"/>
      <c r="J174" s="65"/>
      <c r="K174" s="78"/>
      <c r="L174" s="54" t="str">
        <f>IF(OR(F174="",G174=""),"",IFERROR(F174*VLOOKUP(G174,Setup!$A$38:$E$52,5,FALSE),""))</f>
        <v/>
      </c>
      <c r="M174" s="54" t="str">
        <f>IF(L174="","",IFERROR(L174/VLOOKUP("EUR",Setup!$A$38:$E$52,5,FALSE),""))</f>
        <v/>
      </c>
      <c r="N174" s="54" t="str">
        <f>IF(L174="","",IFERROR(L174/VLOOKUP("USD",Setup!$A$38:$E$52,5,FALSE),""))</f>
        <v/>
      </c>
    </row>
    <row r="175" ht="24.0" customHeight="1">
      <c r="A175" s="78"/>
      <c r="B175" s="99"/>
      <c r="C175" s="78"/>
      <c r="D175" s="99"/>
      <c r="E175" s="78"/>
      <c r="F175" s="104"/>
      <c r="G175" s="99"/>
      <c r="H175" s="99"/>
      <c r="I175" s="65"/>
      <c r="J175" s="65"/>
      <c r="K175" s="78"/>
      <c r="L175" s="54" t="str">
        <f>IF(OR(F175="",G175=""),"",IFERROR(F175*VLOOKUP(G175,Setup!$A$38:$E$52,5,FALSE),""))</f>
        <v/>
      </c>
      <c r="M175" s="54" t="str">
        <f>IF(L175="","",IFERROR(L175/VLOOKUP("EUR",Setup!$A$38:$E$52,5,FALSE),""))</f>
        <v/>
      </c>
      <c r="N175" s="54" t="str">
        <f>IF(L175="","",IFERROR(L175/VLOOKUP("USD",Setup!$A$38:$E$52,5,FALSE),""))</f>
        <v/>
      </c>
    </row>
    <row r="176" ht="24.0" customHeight="1">
      <c r="A176" s="78"/>
      <c r="B176" s="99"/>
      <c r="C176" s="78"/>
      <c r="D176" s="99"/>
      <c r="E176" s="78"/>
      <c r="F176" s="104"/>
      <c r="G176" s="99"/>
      <c r="H176" s="99"/>
      <c r="I176" s="65"/>
      <c r="J176" s="65"/>
      <c r="K176" s="78"/>
      <c r="L176" s="54" t="str">
        <f>IF(OR(F176="",G176=""),"",IFERROR(F176*VLOOKUP(G176,Setup!$A$38:$E$52,5,FALSE),""))</f>
        <v/>
      </c>
      <c r="M176" s="54" t="str">
        <f>IF(L176="","",IFERROR(L176/VLOOKUP("EUR",Setup!$A$38:$E$52,5,FALSE),""))</f>
        <v/>
      </c>
      <c r="N176" s="54" t="str">
        <f>IF(L176="","",IFERROR(L176/VLOOKUP("USD",Setup!$A$38:$E$52,5,FALSE),""))</f>
        <v/>
      </c>
    </row>
    <row r="177" ht="24.0" customHeight="1">
      <c r="A177" s="78"/>
      <c r="B177" s="99"/>
      <c r="C177" s="78"/>
      <c r="D177" s="99"/>
      <c r="E177" s="78"/>
      <c r="F177" s="104"/>
      <c r="G177" s="99"/>
      <c r="H177" s="99"/>
      <c r="I177" s="65"/>
      <c r="J177" s="65"/>
      <c r="K177" s="78"/>
      <c r="L177" s="54" t="str">
        <f>IF(OR(F177="",G177=""),"",IFERROR(F177*VLOOKUP(G177,Setup!$A$38:$E$52,5,FALSE),""))</f>
        <v/>
      </c>
      <c r="M177" s="54" t="str">
        <f>IF(L177="","",IFERROR(L177/VLOOKUP("EUR",Setup!$A$38:$E$52,5,FALSE),""))</f>
        <v/>
      </c>
      <c r="N177" s="54" t="str">
        <f>IF(L177="","",IFERROR(L177/VLOOKUP("USD",Setup!$A$38:$E$52,5,FALSE),""))</f>
        <v/>
      </c>
    </row>
    <row r="178" ht="24.0" customHeight="1">
      <c r="A178" s="78"/>
      <c r="B178" s="99"/>
      <c r="C178" s="78"/>
      <c r="D178" s="99"/>
      <c r="E178" s="78"/>
      <c r="F178" s="104"/>
      <c r="G178" s="99"/>
      <c r="H178" s="99"/>
      <c r="I178" s="65"/>
      <c r="J178" s="65"/>
      <c r="K178" s="78"/>
      <c r="L178" s="54" t="str">
        <f>IF(OR(F178="",G178=""),"",IFERROR(F178*VLOOKUP(G178,Setup!$A$38:$E$52,5,FALSE),""))</f>
        <v/>
      </c>
      <c r="M178" s="54" t="str">
        <f>IF(L178="","",IFERROR(L178/VLOOKUP("EUR",Setup!$A$38:$E$52,5,FALSE),""))</f>
        <v/>
      </c>
      <c r="N178" s="54" t="str">
        <f>IF(L178="","",IFERROR(L178/VLOOKUP("USD",Setup!$A$38:$E$52,5,FALSE),""))</f>
        <v/>
      </c>
    </row>
    <row r="179" ht="24.0" customHeight="1">
      <c r="A179" s="78"/>
      <c r="B179" s="99"/>
      <c r="C179" s="78"/>
      <c r="D179" s="99"/>
      <c r="E179" s="78"/>
      <c r="F179" s="104"/>
      <c r="G179" s="99"/>
      <c r="H179" s="99"/>
      <c r="I179" s="65"/>
      <c r="J179" s="65"/>
      <c r="K179" s="78"/>
      <c r="L179" s="54" t="str">
        <f>IF(OR(F179="",G179=""),"",IFERROR(F179*VLOOKUP(G179,Setup!$A$38:$E$52,5,FALSE),""))</f>
        <v/>
      </c>
      <c r="M179" s="54" t="str">
        <f>IF(L179="","",IFERROR(L179/VLOOKUP("EUR",Setup!$A$38:$E$52,5,FALSE),""))</f>
        <v/>
      </c>
      <c r="N179" s="54" t="str">
        <f>IF(L179="","",IFERROR(L179/VLOOKUP("USD",Setup!$A$38:$E$52,5,FALSE),""))</f>
        <v/>
      </c>
    </row>
    <row r="180" ht="24.0" customHeight="1">
      <c r="A180" s="78"/>
      <c r="B180" s="99"/>
      <c r="C180" s="78"/>
      <c r="D180" s="99"/>
      <c r="E180" s="78"/>
      <c r="F180" s="104"/>
      <c r="G180" s="99"/>
      <c r="H180" s="99"/>
      <c r="I180" s="65"/>
      <c r="J180" s="65"/>
      <c r="K180" s="78"/>
      <c r="L180" s="54" t="str">
        <f>IF(OR(F180="",G180=""),"",IFERROR(F180*VLOOKUP(G180,Setup!$A$38:$E$52,5,FALSE),""))</f>
        <v/>
      </c>
      <c r="M180" s="54" t="str">
        <f>IF(L180="","",IFERROR(L180/VLOOKUP("EUR",Setup!$A$38:$E$52,5,FALSE),""))</f>
        <v/>
      </c>
      <c r="N180" s="54" t="str">
        <f>IF(L180="","",IFERROR(L180/VLOOKUP("USD",Setup!$A$38:$E$52,5,FALSE),""))</f>
        <v/>
      </c>
    </row>
    <row r="181" ht="24.0" customHeight="1">
      <c r="A181" s="78"/>
      <c r="B181" s="99"/>
      <c r="C181" s="78"/>
      <c r="D181" s="99"/>
      <c r="E181" s="78"/>
      <c r="F181" s="104"/>
      <c r="G181" s="99"/>
      <c r="H181" s="99"/>
      <c r="I181" s="65"/>
      <c r="J181" s="65"/>
      <c r="K181" s="78"/>
      <c r="L181" s="54" t="str">
        <f>IF(OR(F181="",G181=""),"",IFERROR(F181*VLOOKUP(G181,Setup!$A$38:$E$52,5,FALSE),""))</f>
        <v/>
      </c>
      <c r="M181" s="54" t="str">
        <f>IF(L181="","",IFERROR(L181/VLOOKUP("EUR",Setup!$A$38:$E$52,5,FALSE),""))</f>
        <v/>
      </c>
      <c r="N181" s="54" t="str">
        <f>IF(L181="","",IFERROR(L181/VLOOKUP("USD",Setup!$A$38:$E$52,5,FALSE),""))</f>
        <v/>
      </c>
    </row>
    <row r="182" ht="24.0" customHeight="1">
      <c r="A182" s="78"/>
      <c r="B182" s="99"/>
      <c r="C182" s="78"/>
      <c r="D182" s="99"/>
      <c r="E182" s="78"/>
      <c r="F182" s="104"/>
      <c r="G182" s="99"/>
      <c r="H182" s="99"/>
      <c r="I182" s="65"/>
      <c r="J182" s="65"/>
      <c r="K182" s="78"/>
      <c r="L182" s="54" t="str">
        <f>IF(OR(F182="",G182=""),"",IFERROR(F182*VLOOKUP(G182,Setup!$A$38:$E$52,5,FALSE),""))</f>
        <v/>
      </c>
      <c r="M182" s="54" t="str">
        <f>IF(L182="","",IFERROR(L182/VLOOKUP("EUR",Setup!$A$38:$E$52,5,FALSE),""))</f>
        <v/>
      </c>
      <c r="N182" s="54" t="str">
        <f>IF(L182="","",IFERROR(L182/VLOOKUP("USD",Setup!$A$38:$E$52,5,FALSE),""))</f>
        <v/>
      </c>
    </row>
    <row r="183" ht="24.0" customHeight="1">
      <c r="A183" s="78"/>
      <c r="B183" s="99"/>
      <c r="C183" s="78"/>
      <c r="D183" s="99"/>
      <c r="E183" s="78"/>
      <c r="F183" s="104"/>
      <c r="G183" s="99"/>
      <c r="H183" s="99"/>
      <c r="I183" s="65"/>
      <c r="J183" s="65"/>
      <c r="K183" s="78"/>
      <c r="L183" s="54" t="str">
        <f>IF(OR(F183="",G183=""),"",IFERROR(F183*VLOOKUP(G183,Setup!$A$38:$E$52,5,FALSE),""))</f>
        <v/>
      </c>
      <c r="M183" s="54" t="str">
        <f>IF(L183="","",IFERROR(L183/VLOOKUP("EUR",Setup!$A$38:$E$52,5,FALSE),""))</f>
        <v/>
      </c>
      <c r="N183" s="54" t="str">
        <f>IF(L183="","",IFERROR(L183/VLOOKUP("USD",Setup!$A$38:$E$52,5,FALSE),""))</f>
        <v/>
      </c>
    </row>
    <row r="184" ht="24.0" customHeight="1">
      <c r="A184" s="78"/>
      <c r="B184" s="99"/>
      <c r="C184" s="78"/>
      <c r="D184" s="99"/>
      <c r="E184" s="78"/>
      <c r="F184" s="104"/>
      <c r="G184" s="99"/>
      <c r="H184" s="99"/>
      <c r="I184" s="65"/>
      <c r="J184" s="65"/>
      <c r="K184" s="78"/>
      <c r="L184" s="54" t="str">
        <f>IF(OR(F184="",G184=""),"",IFERROR(F184*VLOOKUP(G184,Setup!$A$38:$E$52,5,FALSE),""))</f>
        <v/>
      </c>
      <c r="M184" s="54" t="str">
        <f>IF(L184="","",IFERROR(L184/VLOOKUP("EUR",Setup!$A$38:$E$52,5,FALSE),""))</f>
        <v/>
      </c>
      <c r="N184" s="54" t="str">
        <f>IF(L184="","",IFERROR(L184/VLOOKUP("USD",Setup!$A$38:$E$52,5,FALSE),""))</f>
        <v/>
      </c>
    </row>
    <row r="185" ht="24.0" customHeight="1">
      <c r="A185" s="78"/>
      <c r="B185" s="99"/>
      <c r="C185" s="78"/>
      <c r="D185" s="99"/>
      <c r="E185" s="78"/>
      <c r="F185" s="104"/>
      <c r="G185" s="99"/>
      <c r="H185" s="99"/>
      <c r="I185" s="65"/>
      <c r="J185" s="65"/>
      <c r="K185" s="78"/>
      <c r="L185" s="54" t="str">
        <f>IF(OR(F185="",G185=""),"",IFERROR(F185*VLOOKUP(G185,Setup!$A$38:$E$52,5,FALSE),""))</f>
        <v/>
      </c>
      <c r="M185" s="54" t="str">
        <f>IF(L185="","",IFERROR(L185/VLOOKUP("EUR",Setup!$A$38:$E$52,5,FALSE),""))</f>
        <v/>
      </c>
      <c r="N185" s="54" t="str">
        <f>IF(L185="","",IFERROR(L185/VLOOKUP("USD",Setup!$A$38:$E$52,5,FALSE),""))</f>
        <v/>
      </c>
    </row>
    <row r="186" ht="24.0" customHeight="1">
      <c r="A186" s="78"/>
      <c r="B186" s="99"/>
      <c r="C186" s="78"/>
      <c r="D186" s="99"/>
      <c r="E186" s="78"/>
      <c r="F186" s="104"/>
      <c r="G186" s="99"/>
      <c r="H186" s="99"/>
      <c r="I186" s="65"/>
      <c r="J186" s="65"/>
      <c r="K186" s="78"/>
      <c r="L186" s="54" t="str">
        <f>IF(OR(F186="",G186=""),"",IFERROR(F186*VLOOKUP(G186,Setup!$A$38:$E$52,5,FALSE),""))</f>
        <v/>
      </c>
      <c r="M186" s="54" t="str">
        <f>IF(L186="","",IFERROR(L186/VLOOKUP("EUR",Setup!$A$38:$E$52,5,FALSE),""))</f>
        <v/>
      </c>
      <c r="N186" s="54" t="str">
        <f>IF(L186="","",IFERROR(L186/VLOOKUP("USD",Setup!$A$38:$E$52,5,FALSE),""))</f>
        <v/>
      </c>
    </row>
    <row r="187" ht="24.0" customHeight="1">
      <c r="A187" s="78"/>
      <c r="B187" s="99"/>
      <c r="C187" s="78"/>
      <c r="D187" s="99"/>
      <c r="E187" s="78"/>
      <c r="F187" s="104"/>
      <c r="G187" s="99"/>
      <c r="H187" s="99"/>
      <c r="I187" s="65"/>
      <c r="J187" s="65"/>
      <c r="K187" s="78"/>
      <c r="L187" s="54" t="str">
        <f>IF(OR(F187="",G187=""),"",IFERROR(F187*VLOOKUP(G187,Setup!$A$38:$E$52,5,FALSE),""))</f>
        <v/>
      </c>
      <c r="M187" s="54" t="str">
        <f>IF(L187="","",IFERROR(L187/VLOOKUP("EUR",Setup!$A$38:$E$52,5,FALSE),""))</f>
        <v/>
      </c>
      <c r="N187" s="54" t="str">
        <f>IF(L187="","",IFERROR(L187/VLOOKUP("USD",Setup!$A$38:$E$52,5,FALSE),""))</f>
        <v/>
      </c>
    </row>
    <row r="188" ht="24.0" customHeight="1">
      <c r="A188" s="78"/>
      <c r="B188" s="99"/>
      <c r="C188" s="78"/>
      <c r="D188" s="99"/>
      <c r="E188" s="78"/>
      <c r="F188" s="104"/>
      <c r="G188" s="99"/>
      <c r="H188" s="99"/>
      <c r="I188" s="65"/>
      <c r="J188" s="65"/>
      <c r="K188" s="78"/>
      <c r="L188" s="54" t="str">
        <f>IF(OR(F188="",G188=""),"",IFERROR(F188*VLOOKUP(G188,Setup!$A$38:$E$52,5,FALSE),""))</f>
        <v/>
      </c>
      <c r="M188" s="54" t="str">
        <f>IF(L188="","",IFERROR(L188/VLOOKUP("EUR",Setup!$A$38:$E$52,5,FALSE),""))</f>
        <v/>
      </c>
      <c r="N188" s="54" t="str">
        <f>IF(L188="","",IFERROR(L188/VLOOKUP("USD",Setup!$A$38:$E$52,5,FALSE),""))</f>
        <v/>
      </c>
    </row>
    <row r="189" ht="24.0" customHeight="1">
      <c r="A189" s="78"/>
      <c r="B189" s="99"/>
      <c r="C189" s="78"/>
      <c r="D189" s="99"/>
      <c r="E189" s="78"/>
      <c r="F189" s="104"/>
      <c r="G189" s="99"/>
      <c r="H189" s="99"/>
      <c r="I189" s="65"/>
      <c r="J189" s="65"/>
      <c r="K189" s="78"/>
      <c r="L189" s="54" t="str">
        <f>IF(OR(F189="",G189=""),"",IFERROR(F189*VLOOKUP(G189,Setup!$A$38:$E$52,5,FALSE),""))</f>
        <v/>
      </c>
      <c r="M189" s="54" t="str">
        <f>IF(L189="","",IFERROR(L189/VLOOKUP("EUR",Setup!$A$38:$E$52,5,FALSE),""))</f>
        <v/>
      </c>
      <c r="N189" s="54" t="str">
        <f>IF(L189="","",IFERROR(L189/VLOOKUP("USD",Setup!$A$38:$E$52,5,FALSE),""))</f>
        <v/>
      </c>
    </row>
    <row r="190" ht="24.0" customHeight="1">
      <c r="A190" s="78"/>
      <c r="B190" s="99"/>
      <c r="C190" s="78"/>
      <c r="D190" s="99"/>
      <c r="E190" s="78"/>
      <c r="F190" s="104"/>
      <c r="G190" s="99"/>
      <c r="H190" s="99"/>
      <c r="I190" s="65"/>
      <c r="J190" s="65"/>
      <c r="K190" s="78"/>
      <c r="L190" s="54" t="str">
        <f>IF(OR(F190="",G190=""),"",IFERROR(F190*VLOOKUP(G190,Setup!$A$38:$E$52,5,FALSE),""))</f>
        <v/>
      </c>
      <c r="M190" s="54" t="str">
        <f>IF(L190="","",IFERROR(L190/VLOOKUP("EUR",Setup!$A$38:$E$52,5,FALSE),""))</f>
        <v/>
      </c>
      <c r="N190" s="54" t="str">
        <f>IF(L190="","",IFERROR(L190/VLOOKUP("USD",Setup!$A$38:$E$52,5,FALSE),""))</f>
        <v/>
      </c>
    </row>
    <row r="191" ht="24.0" customHeight="1">
      <c r="A191" s="78"/>
      <c r="B191" s="99"/>
      <c r="C191" s="78"/>
      <c r="D191" s="99"/>
      <c r="E191" s="78"/>
      <c r="F191" s="104"/>
      <c r="G191" s="99"/>
      <c r="H191" s="99"/>
      <c r="I191" s="65"/>
      <c r="J191" s="65"/>
      <c r="K191" s="78"/>
      <c r="L191" s="54" t="str">
        <f>IF(OR(F191="",G191=""),"",IFERROR(F191*VLOOKUP(G191,Setup!$A$38:$E$52,5,FALSE),""))</f>
        <v/>
      </c>
      <c r="M191" s="54" t="str">
        <f>IF(L191="","",IFERROR(L191/VLOOKUP("EUR",Setup!$A$38:$E$52,5,FALSE),""))</f>
        <v/>
      </c>
      <c r="N191" s="54" t="str">
        <f>IF(L191="","",IFERROR(L191/VLOOKUP("USD",Setup!$A$38:$E$52,5,FALSE),""))</f>
        <v/>
      </c>
    </row>
    <row r="192" ht="24.0" customHeight="1">
      <c r="A192" s="78"/>
      <c r="B192" s="99"/>
      <c r="C192" s="78"/>
      <c r="D192" s="99"/>
      <c r="E192" s="78"/>
      <c r="F192" s="104"/>
      <c r="G192" s="99"/>
      <c r="H192" s="99"/>
      <c r="I192" s="65"/>
      <c r="J192" s="65"/>
      <c r="K192" s="78"/>
      <c r="L192" s="54" t="str">
        <f>IF(OR(F192="",G192=""),"",IFERROR(F192*VLOOKUP(G192,Setup!$A$38:$E$52,5,FALSE),""))</f>
        <v/>
      </c>
      <c r="M192" s="54" t="str">
        <f>IF(L192="","",IFERROR(L192/VLOOKUP("EUR",Setup!$A$38:$E$52,5,FALSE),""))</f>
        <v/>
      </c>
      <c r="N192" s="54" t="str">
        <f>IF(L192="","",IFERROR(L192/VLOOKUP("USD",Setup!$A$38:$E$52,5,FALSE),""))</f>
        <v/>
      </c>
    </row>
    <row r="193" ht="24.0" customHeight="1">
      <c r="A193" s="78"/>
      <c r="B193" s="99"/>
      <c r="C193" s="78"/>
      <c r="D193" s="99"/>
      <c r="E193" s="78"/>
      <c r="F193" s="104"/>
      <c r="G193" s="99"/>
      <c r="H193" s="99"/>
      <c r="I193" s="65"/>
      <c r="J193" s="65"/>
      <c r="K193" s="78"/>
      <c r="L193" s="54" t="str">
        <f>IF(OR(F193="",G193=""),"",IFERROR(F193*VLOOKUP(G193,Setup!$A$38:$E$52,5,FALSE),""))</f>
        <v/>
      </c>
      <c r="M193" s="54" t="str">
        <f>IF(L193="","",IFERROR(L193/VLOOKUP("EUR",Setup!$A$38:$E$52,5,FALSE),""))</f>
        <v/>
      </c>
      <c r="N193" s="54" t="str">
        <f>IF(L193="","",IFERROR(L193/VLOOKUP("USD",Setup!$A$38:$E$52,5,FALSE),""))</f>
        <v/>
      </c>
    </row>
    <row r="194" ht="24.0" customHeight="1">
      <c r="A194" s="78"/>
      <c r="B194" s="99"/>
      <c r="C194" s="78"/>
      <c r="D194" s="99"/>
      <c r="E194" s="78"/>
      <c r="F194" s="104"/>
      <c r="G194" s="99"/>
      <c r="H194" s="99"/>
      <c r="I194" s="65"/>
      <c r="J194" s="65"/>
      <c r="K194" s="78"/>
      <c r="L194" s="54" t="str">
        <f>IF(OR(F194="",G194=""),"",IFERROR(F194*VLOOKUP(G194,Setup!$A$38:$E$52,5,FALSE),""))</f>
        <v/>
      </c>
      <c r="M194" s="54" t="str">
        <f>IF(L194="","",IFERROR(L194/VLOOKUP("EUR",Setup!$A$38:$E$52,5,FALSE),""))</f>
        <v/>
      </c>
      <c r="N194" s="54" t="str">
        <f>IF(L194="","",IFERROR(L194/VLOOKUP("USD",Setup!$A$38:$E$52,5,FALSE),""))</f>
        <v/>
      </c>
    </row>
    <row r="195" ht="24.0" customHeight="1">
      <c r="A195" s="78"/>
      <c r="B195" s="99"/>
      <c r="C195" s="78"/>
      <c r="D195" s="99"/>
      <c r="E195" s="78"/>
      <c r="F195" s="104"/>
      <c r="G195" s="99"/>
      <c r="H195" s="99"/>
      <c r="I195" s="65"/>
      <c r="J195" s="65"/>
      <c r="K195" s="78"/>
      <c r="L195" s="54" t="str">
        <f>IF(OR(F195="",G195=""),"",IFERROR(F195*VLOOKUP(G195,Setup!$A$38:$E$52,5,FALSE),""))</f>
        <v/>
      </c>
      <c r="M195" s="54" t="str">
        <f>IF(L195="","",IFERROR(L195/VLOOKUP("EUR",Setup!$A$38:$E$52,5,FALSE),""))</f>
        <v/>
      </c>
      <c r="N195" s="54" t="str">
        <f>IF(L195="","",IFERROR(L195/VLOOKUP("USD",Setup!$A$38:$E$52,5,FALSE),""))</f>
        <v/>
      </c>
    </row>
    <row r="196" ht="24.0" customHeight="1">
      <c r="A196" s="78"/>
      <c r="B196" s="99"/>
      <c r="C196" s="78"/>
      <c r="D196" s="99"/>
      <c r="E196" s="78"/>
      <c r="F196" s="104"/>
      <c r="G196" s="99"/>
      <c r="H196" s="99"/>
      <c r="I196" s="65"/>
      <c r="J196" s="65"/>
      <c r="K196" s="78"/>
      <c r="L196" s="54" t="str">
        <f>IF(OR(F196="",G196=""),"",IFERROR(F196*VLOOKUP(G196,Setup!$A$38:$E$52,5,FALSE),""))</f>
        <v/>
      </c>
      <c r="M196" s="54" t="str">
        <f>IF(L196="","",IFERROR(L196/VLOOKUP("EUR",Setup!$A$38:$E$52,5,FALSE),""))</f>
        <v/>
      </c>
      <c r="N196" s="54" t="str">
        <f>IF(L196="","",IFERROR(L196/VLOOKUP("USD",Setup!$A$38:$E$52,5,FALSE),""))</f>
        <v/>
      </c>
    </row>
    <row r="197" ht="24.0" customHeight="1">
      <c r="A197" s="78"/>
      <c r="B197" s="99"/>
      <c r="C197" s="78"/>
      <c r="D197" s="99"/>
      <c r="E197" s="78"/>
      <c r="F197" s="104"/>
      <c r="G197" s="99"/>
      <c r="H197" s="99"/>
      <c r="I197" s="65"/>
      <c r="J197" s="65"/>
      <c r="K197" s="78"/>
      <c r="L197" s="54" t="str">
        <f>IF(OR(F197="",G197=""),"",IFERROR(F197*VLOOKUP(G197,Setup!$A$38:$E$52,5,FALSE),""))</f>
        <v/>
      </c>
      <c r="M197" s="54" t="str">
        <f>IF(L197="","",IFERROR(L197/VLOOKUP("EUR",Setup!$A$38:$E$52,5,FALSE),""))</f>
        <v/>
      </c>
      <c r="N197" s="54" t="str">
        <f>IF(L197="","",IFERROR(L197/VLOOKUP("USD",Setup!$A$38:$E$52,5,FALSE),""))</f>
        <v/>
      </c>
    </row>
    <row r="198" ht="24.0" customHeight="1">
      <c r="A198" s="78"/>
      <c r="B198" s="99"/>
      <c r="C198" s="78"/>
      <c r="D198" s="99"/>
      <c r="E198" s="78"/>
      <c r="F198" s="104"/>
      <c r="G198" s="99"/>
      <c r="H198" s="99"/>
      <c r="I198" s="65"/>
      <c r="J198" s="65"/>
      <c r="K198" s="78"/>
      <c r="L198" s="54" t="str">
        <f>IF(OR(F198="",G198=""),"",IFERROR(F198*VLOOKUP(G198,Setup!$A$38:$E$52,5,FALSE),""))</f>
        <v/>
      </c>
      <c r="M198" s="54" t="str">
        <f>IF(L198="","",IFERROR(L198/VLOOKUP("EUR",Setup!$A$38:$E$52,5,FALSE),""))</f>
        <v/>
      </c>
      <c r="N198" s="54" t="str">
        <f>IF(L198="","",IFERROR(L198/VLOOKUP("USD",Setup!$A$38:$E$52,5,FALSE),""))</f>
        <v/>
      </c>
    </row>
    <row r="199" ht="24.0" customHeight="1">
      <c r="A199" s="78"/>
      <c r="B199" s="99"/>
      <c r="C199" s="78"/>
      <c r="D199" s="99"/>
      <c r="E199" s="78"/>
      <c r="F199" s="104"/>
      <c r="G199" s="99"/>
      <c r="H199" s="99"/>
      <c r="I199" s="65"/>
      <c r="J199" s="65"/>
      <c r="K199" s="78"/>
      <c r="L199" s="54" t="str">
        <f>IF(OR(F199="",G199=""),"",IFERROR(F199*VLOOKUP(G199,Setup!$A$38:$E$52,5,FALSE),""))</f>
        <v/>
      </c>
      <c r="M199" s="54" t="str">
        <f>IF(L199="","",IFERROR(L199/VLOOKUP("EUR",Setup!$A$38:$E$52,5,FALSE),""))</f>
        <v/>
      </c>
      <c r="N199" s="54" t="str">
        <f>IF(L199="","",IFERROR(L199/VLOOKUP("USD",Setup!$A$38:$E$52,5,FALSE),""))</f>
        <v/>
      </c>
    </row>
    <row r="200" ht="24.0" customHeight="1">
      <c r="A200" s="78"/>
      <c r="B200" s="99"/>
      <c r="C200" s="78"/>
      <c r="D200" s="99"/>
      <c r="E200" s="78"/>
      <c r="F200" s="104"/>
      <c r="G200" s="99"/>
      <c r="H200" s="99"/>
      <c r="I200" s="65"/>
      <c r="J200" s="65"/>
      <c r="K200" s="78"/>
      <c r="L200" s="54" t="str">
        <f>IF(OR(F200="",G200=""),"",IFERROR(F200*VLOOKUP(G200,Setup!$A$38:$E$52,5,FALSE),""))</f>
        <v/>
      </c>
      <c r="M200" s="54" t="str">
        <f>IF(L200="","",IFERROR(L200/VLOOKUP("EUR",Setup!$A$38:$E$52,5,FALSE),""))</f>
        <v/>
      </c>
      <c r="N200" s="54" t="str">
        <f>IF(L200="","",IFERROR(L200/VLOOKUP("USD",Setup!$A$38:$E$52,5,FALSE),""))</f>
        <v/>
      </c>
    </row>
    <row r="201" ht="24.0" customHeight="1">
      <c r="A201" s="78"/>
      <c r="B201" s="99"/>
      <c r="C201" s="78"/>
      <c r="D201" s="99"/>
      <c r="E201" s="78"/>
      <c r="F201" s="104"/>
      <c r="G201" s="99"/>
      <c r="H201" s="99"/>
      <c r="I201" s="65"/>
      <c r="J201" s="65"/>
      <c r="K201" s="78"/>
      <c r="L201" s="54" t="str">
        <f>IF(OR(F201="",G201=""),"",IFERROR(F201*VLOOKUP(G201,Setup!$A$38:$E$52,5,FALSE),""))</f>
        <v/>
      </c>
      <c r="M201" s="54" t="str">
        <f>IF(L201="","",IFERROR(L201/VLOOKUP("EUR",Setup!$A$38:$E$52,5,FALSE),""))</f>
        <v/>
      </c>
      <c r="N201" s="54" t="str">
        <f>IF(L201="","",IFERROR(L201/VLOOKUP("USD",Setup!$A$38:$E$52,5,FALSE),""))</f>
        <v/>
      </c>
    </row>
    <row r="202" ht="24.0" customHeight="1">
      <c r="A202" s="78"/>
      <c r="B202" s="99"/>
      <c r="C202" s="78"/>
      <c r="D202" s="99"/>
      <c r="E202" s="78"/>
      <c r="F202" s="104"/>
      <c r="G202" s="99"/>
      <c r="H202" s="99"/>
      <c r="I202" s="65"/>
      <c r="J202" s="65"/>
      <c r="K202" s="78"/>
      <c r="L202" s="54" t="str">
        <f>IF(OR(F202="",G202=""),"",IFERROR(F202*VLOOKUP(G202,Setup!$A$38:$E$52,5,FALSE),""))</f>
        <v/>
      </c>
      <c r="M202" s="54" t="str">
        <f>IF(L202="","",IFERROR(L202/VLOOKUP("EUR",Setup!$A$38:$E$52,5,FALSE),""))</f>
        <v/>
      </c>
      <c r="N202" s="54" t="str">
        <f>IF(L202="","",IFERROR(L202/VLOOKUP("USD",Setup!$A$38:$E$52,5,FALSE),""))</f>
        <v/>
      </c>
    </row>
    <row r="203" ht="24.0" customHeight="1">
      <c r="A203" s="78"/>
      <c r="B203" s="99"/>
      <c r="C203" s="78"/>
      <c r="D203" s="99"/>
      <c r="E203" s="78"/>
      <c r="F203" s="104"/>
      <c r="G203" s="99"/>
      <c r="H203" s="99"/>
      <c r="I203" s="65"/>
      <c r="J203" s="65"/>
      <c r="K203" s="78"/>
      <c r="L203" s="54" t="str">
        <f>IF(OR(F203="",G203=""),"",IFERROR(F203*VLOOKUP(G203,Setup!$A$38:$E$52,5,FALSE),""))</f>
        <v/>
      </c>
      <c r="M203" s="54" t="str">
        <f>IF(L203="","",IFERROR(L203/VLOOKUP("EUR",Setup!$A$38:$E$52,5,FALSE),""))</f>
        <v/>
      </c>
      <c r="N203" s="54" t="str">
        <f>IF(L203="","",IFERROR(L203/VLOOKUP("USD",Setup!$A$38:$E$52,5,FALSE),""))</f>
        <v/>
      </c>
    </row>
    <row r="204" ht="24.0" customHeight="1">
      <c r="A204" s="78"/>
      <c r="B204" s="99"/>
      <c r="C204" s="78"/>
      <c r="D204" s="99"/>
      <c r="E204" s="78"/>
      <c r="F204" s="104"/>
      <c r="G204" s="99"/>
      <c r="H204" s="99"/>
      <c r="I204" s="65"/>
      <c r="J204" s="65"/>
      <c r="K204" s="78"/>
      <c r="L204" s="54" t="str">
        <f>IF(OR(F204="",G204=""),"",IFERROR(F204*VLOOKUP(G204,Setup!$A$38:$E$52,5,FALSE),""))</f>
        <v/>
      </c>
      <c r="M204" s="54" t="str">
        <f>IF(L204="","",IFERROR(L204/VLOOKUP("EUR",Setup!$A$38:$E$52,5,FALSE),""))</f>
        <v/>
      </c>
      <c r="N204" s="54" t="str">
        <f>IF(L204="","",IFERROR(L204/VLOOKUP("USD",Setup!$A$38:$E$52,5,FALSE),""))</f>
        <v/>
      </c>
    </row>
    <row r="205" ht="24.0" customHeight="1">
      <c r="A205" s="78"/>
      <c r="B205" s="99"/>
      <c r="C205" s="78"/>
      <c r="D205" s="99"/>
      <c r="E205" s="78"/>
      <c r="F205" s="104"/>
      <c r="G205" s="99"/>
      <c r="H205" s="99"/>
      <c r="I205" s="65"/>
      <c r="J205" s="65"/>
      <c r="K205" s="78"/>
      <c r="L205" s="54" t="str">
        <f>IF(OR(F205="",G205=""),"",IFERROR(F205*VLOOKUP(G205,Setup!$A$38:$E$52,5,FALSE),""))</f>
        <v/>
      </c>
      <c r="M205" s="54" t="str">
        <f>IF(L205="","",IFERROR(L205/VLOOKUP("EUR",Setup!$A$38:$E$52,5,FALSE),""))</f>
        <v/>
      </c>
      <c r="N205" s="54" t="str">
        <f>IF(L205="","",IFERROR(L205/VLOOKUP("USD",Setup!$A$38:$E$52,5,FALSE),""))</f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B3"/>
  </mergeCells>
  <conditionalFormatting sqref="H6:H205">
    <cfRule type="containsText" dxfId="5" priority="1" operator="containsText" text="Submitted">
      <formula>NOT(ISERROR(SEARCH(("Submitted"),(H6))))</formula>
    </cfRule>
  </conditionalFormatting>
  <conditionalFormatting sqref="H6:H205">
    <cfRule type="containsText" dxfId="6" priority="2" operator="containsText" text="Ready">
      <formula>NOT(ISERROR(SEARCH(("Ready"),(H6))))</formula>
    </cfRule>
  </conditionalFormatting>
  <conditionalFormatting sqref="H6:H205">
    <cfRule type="containsText" dxfId="6" priority="3" operator="containsText" text="Admitted">
      <formula>NOT(ISERROR(SEARCH(("Admitted"),(H6))))</formula>
    </cfRule>
  </conditionalFormatting>
  <conditionalFormatting sqref="H6:H205">
    <cfRule type="containsText" dxfId="6" priority="4" operator="containsText" text="Awarded">
      <formula>NOT(ISERROR(SEARCH(("Awarded"),(H6))))</formula>
    </cfRule>
  </conditionalFormatting>
  <conditionalFormatting sqref="H6:H205">
    <cfRule type="containsText" dxfId="6" priority="5" operator="containsText" text="Completed">
      <formula>NOT(ISERROR(SEARCH(("Completed"),(H6))))</formula>
    </cfRule>
  </conditionalFormatting>
  <conditionalFormatting sqref="H6:H205">
    <cfRule type="containsText" dxfId="6" priority="6" operator="containsText" text="Done">
      <formula>NOT(ISERROR(SEARCH(("Done"),(H6))))</formula>
    </cfRule>
  </conditionalFormatting>
  <conditionalFormatting sqref="H6:H205">
    <cfRule type="containsText" dxfId="6" priority="7" operator="containsText" text="Final">
      <formula>NOT(ISERROR(SEARCH(("Final"),(H6))))</formula>
    </cfRule>
  </conditionalFormatting>
  <conditionalFormatting sqref="H6:H205">
    <cfRule type="containsText" dxfId="7" priority="8" operator="containsText" text="Preparing">
      <formula>NOT(ISERROR(SEARCH(("Preparing"),(H6))))</formula>
    </cfRule>
  </conditionalFormatting>
  <conditionalFormatting sqref="H6:H205">
    <cfRule type="containsText" dxfId="7" priority="9" operator="containsText" text="In Progress">
      <formula>NOT(ISERROR(SEARCH(("In Progress"),(H6))))</formula>
    </cfRule>
  </conditionalFormatting>
  <conditionalFormatting sqref="H6:H205">
    <cfRule type="containsText" dxfId="7" priority="10" operator="containsText" text="Shortlisted">
      <formula>NOT(ISERROR(SEARCH(("Shortlisted"),(H6))))</formula>
    </cfRule>
  </conditionalFormatting>
  <conditionalFormatting sqref="H6:H205">
    <cfRule type="containsText" dxfId="8" priority="11" operator="containsText" text="Researching">
      <formula>NOT(ISERROR(SEARCH(("Researching"),(H6))))</formula>
    </cfRule>
  </conditionalFormatting>
  <conditionalFormatting sqref="H6:H205">
    <cfRule type="containsText" dxfId="8" priority="12" operator="containsText" text="Exploring">
      <formula>NOT(ISERROR(SEARCH(("Exploring"),(H6))))</formula>
    </cfRule>
  </conditionalFormatting>
  <conditionalFormatting sqref="H6:H205">
    <cfRule type="containsText" dxfId="9" priority="13" operator="containsText" text="Needs Verification">
      <formula>NOT(ISERROR(SEARCH(("Needs Verification"),(H6))))</formula>
    </cfRule>
  </conditionalFormatting>
  <conditionalFormatting sqref="H6:H205">
    <cfRule type="containsText" dxfId="10" priority="14" operator="containsText" text="Overdue">
      <formula>NOT(ISERROR(SEARCH(("Overdue"),(H6))))</formula>
    </cfRule>
  </conditionalFormatting>
  <conditionalFormatting sqref="H6:H205">
    <cfRule type="containsText" dxfId="10" priority="15" operator="containsText" text="Rejected">
      <formula>NOT(ISERROR(SEARCH(("Rejected"),(H6))))</formula>
    </cfRule>
  </conditionalFormatting>
  <conditionalFormatting sqref="H6:H205">
    <cfRule type="containsText" dxfId="10" priority="16" operator="containsText" text="Blocked">
      <formula>NOT(ISERROR(SEARCH(("Blocked"),(H6))))</formula>
    </cfRule>
  </conditionalFormatting>
  <conditionalFormatting sqref="I6:I205">
    <cfRule type="expression" dxfId="10" priority="17">
      <formula>AND(I6&lt;&gt;"",I6&lt;TODAY())</formula>
    </cfRule>
  </conditionalFormatting>
  <conditionalFormatting sqref="I6:I205">
    <cfRule type="expression" dxfId="9" priority="18">
      <formula>AND(I6&gt;=TODAY(),I6&lt;=TODAY()+7)</formula>
    </cfRule>
  </conditionalFormatting>
  <dataValidations>
    <dataValidation type="list" allowBlank="1" showErrorMessage="1" sqref="B6:B205">
      <formula1>"Program,Scholarship,Application,Scholarship Application,General"</formula1>
    </dataValidation>
    <dataValidation type="list" allowBlank="1" showErrorMessage="1" sqref="D6:D205">
      <formula1>"Application Fee,Test,Translation,Courier,Visa,Deposit,Other"</formula1>
    </dataValidation>
    <dataValidation type="custom" allowBlank="1" showDropDown="1" sqref="I6:J205">
      <formula1>OR(NOT(ISERROR(DATEVALUE(I6))), AND(ISNUMBER(I6), LEFT(CELL("format", I6))="D"))</formula1>
    </dataValidation>
    <dataValidation type="list" allowBlank="1" showErrorMessage="1" sqref="G6:G205">
      <formula1>"GHS,EUR,USD,GBP,CHF,CAD,CNY,JPY,XAF,SEK,NOK,DKK,PLN,CZK,HUF"</formula1>
    </dataValidation>
    <dataValidation type="list" allowBlank="1" showErrorMessage="1" sqref="H6:H205">
      <formula1>"Planned,Due,Paid,Waived,Refunded"</formula1>
    </dataValidation>
    <dataValidation type="custom" allowBlank="1" showDropDown="1" sqref="F6:F205 L6:N205">
      <formula1>AND(ISNUMBER(F6),(NOT(OR(NOT(ISERROR(DATEVALUE(F6))), AND(ISNUMBER(F6), LEFT(CELL("format", F6))="D")))))</formula1>
    </dataValidation>
    <dataValidation allowBlank="1" showDropDown="1" sqref="A6:A205 C6:C205 E6:E205 K6:K20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8.88"/>
    <col customWidth="1" min="3" max="3" width="30.0"/>
    <col customWidth="1" min="4" max="5" width="18.0"/>
    <col customWidth="1" min="6" max="6" width="18.88"/>
    <col customWidth="1" min="7" max="7" width="15.25"/>
    <col customWidth="1" min="8" max="8" width="36.0"/>
    <col customWidth="1" min="9" max="9" width="17.75"/>
    <col customWidth="1" min="10" max="10" width="15.0"/>
    <col customWidth="1" min="11" max="11" width="15.25"/>
    <col customWidth="1" min="12" max="12" width="16.63"/>
    <col customWidth="1" min="13" max="13" width="42.0"/>
    <col customWidth="1" min="14" max="19" width="15.75"/>
    <col customWidth="1" min="20" max="26" width="8.63"/>
  </cols>
  <sheetData>
    <row r="1" ht="33.75" customHeight="1">
      <c r="A1" s="1" t="s">
        <v>385</v>
      </c>
    </row>
    <row r="2" ht="27.75" customHeight="1">
      <c r="A2" s="2" t="s">
        <v>386</v>
      </c>
    </row>
    <row r="3">
      <c r="A3" s="24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1.5" customHeight="1">
      <c r="A5" s="28" t="s">
        <v>387</v>
      </c>
      <c r="B5" s="28" t="s">
        <v>144</v>
      </c>
      <c r="C5" s="28" t="s">
        <v>60</v>
      </c>
      <c r="D5" s="28" t="s">
        <v>388</v>
      </c>
      <c r="E5" s="28" t="s">
        <v>389</v>
      </c>
      <c r="F5" s="28" t="s">
        <v>390</v>
      </c>
      <c r="G5" s="28" t="s">
        <v>71</v>
      </c>
      <c r="H5" s="28" t="s">
        <v>391</v>
      </c>
      <c r="I5" s="28" t="s">
        <v>154</v>
      </c>
      <c r="J5" s="28" t="s">
        <v>392</v>
      </c>
      <c r="K5" s="28" t="s">
        <v>393</v>
      </c>
      <c r="L5" s="28" t="s">
        <v>394</v>
      </c>
      <c r="M5" s="28" t="s">
        <v>85</v>
      </c>
      <c r="N5" s="29" t="s">
        <v>395</v>
      </c>
      <c r="O5" s="29" t="s">
        <v>396</v>
      </c>
      <c r="P5" s="29" t="s">
        <v>397</v>
      </c>
      <c r="Q5" s="29" t="s">
        <v>398</v>
      </c>
      <c r="R5" s="29" t="s">
        <v>399</v>
      </c>
      <c r="S5" s="29" t="s">
        <v>400</v>
      </c>
    </row>
    <row r="6" ht="24.0" customHeight="1">
      <c r="A6" s="80" t="s">
        <v>401</v>
      </c>
      <c r="B6" s="82" t="s">
        <v>161</v>
      </c>
      <c r="C6" s="84" t="str">
        <f t="array" ref="C6">IF(B6="","",IFERROR(INDEX(Applications!$C$6:$C$205,MATCH(B6,Applications!$A$6:$A$205,0)),""))</f>
        <v/>
      </c>
      <c r="D6" s="86" t="s">
        <v>183</v>
      </c>
      <c r="E6" s="86" t="s">
        <v>183</v>
      </c>
      <c r="F6" s="90"/>
      <c r="G6" s="86" t="s">
        <v>97</v>
      </c>
      <c r="H6" s="62"/>
      <c r="I6" s="45">
        <v>46371.0</v>
      </c>
      <c r="J6" s="90"/>
      <c r="K6" s="86" t="s">
        <v>97</v>
      </c>
      <c r="L6" s="109" t="b">
        <v>0</v>
      </c>
      <c r="M6" s="93" t="s">
        <v>402</v>
      </c>
      <c r="N6" s="54" t="str">
        <f>IF(OR(F6="",G6=""),"",IFERROR(F6*VLOOKUP(G6,Setup!$A$38:$E$52,5,FALSE),""))</f>
        <v/>
      </c>
      <c r="O6" s="54" t="str">
        <f>IF(N6="","",IFERROR(N6/VLOOKUP("EUR",Setup!$A$38:$E$52,5,FALSE),""))</f>
        <v/>
      </c>
      <c r="P6" s="54" t="str">
        <f>IF(N6="","",IFERROR(N6/VLOOKUP("USD",Setup!$A$38:$E$52,5,FALSE),""))</f>
        <v/>
      </c>
      <c r="Q6" s="54" t="str">
        <f>IF(OR(J6="",K6=""),"",IFERROR(J6*VLOOKUP(K6,Setup!$A$38:$E$52,5,FALSE),""))</f>
        <v/>
      </c>
      <c r="R6" s="54" t="str">
        <f>IF(Q6="","",IFERROR(Q6/VLOOKUP("EUR",Setup!$A$38:$E$52,5,FALSE),""))</f>
        <v/>
      </c>
      <c r="S6" s="54" t="str">
        <f>IF(Q6="","",IFERROR(Q6/VLOOKUP("USD",Setup!$A$38:$E$52,5,FALSE),""))</f>
        <v/>
      </c>
    </row>
    <row r="7" ht="24.0" customHeight="1">
      <c r="A7" s="78"/>
      <c r="B7" s="78"/>
      <c r="C7" s="97" t="str">
        <f t="array" ref="C7">IF(B7="","",IFERROR(INDEX(Applications!$C$6:$C$205,MATCH(B7,Applications!$A$6:$A$205,0)),""))</f>
        <v/>
      </c>
      <c r="D7" s="99"/>
      <c r="E7" s="99"/>
      <c r="F7" s="104"/>
      <c r="G7" s="99"/>
      <c r="H7" s="78"/>
      <c r="I7" s="65"/>
      <c r="J7" s="104"/>
      <c r="K7" s="99"/>
      <c r="L7" s="110" t="b">
        <v>0</v>
      </c>
      <c r="M7" s="78"/>
      <c r="N7" s="54" t="str">
        <f>IF(OR(F7="",G7=""),"",IFERROR(F7*VLOOKUP(G7,Setup!$A$38:$E$52,5,FALSE),""))</f>
        <v/>
      </c>
      <c r="O7" s="54" t="str">
        <f>IF(N7="","",IFERROR(N7/VLOOKUP("EUR",Setup!$A$38:$E$52,5,FALSE),""))</f>
        <v/>
      </c>
      <c r="P7" s="54" t="str">
        <f>IF(N7="","",IFERROR(N7/VLOOKUP("USD",Setup!$A$38:$E$52,5,FALSE),""))</f>
        <v/>
      </c>
      <c r="Q7" s="54" t="str">
        <f>IF(OR(J7="",K7=""),"",IFERROR(J7*VLOOKUP(K7,Setup!$A$38:$E$52,5,FALSE),""))</f>
        <v/>
      </c>
      <c r="R7" s="54" t="str">
        <f>IF(Q7="","",IFERROR(Q7/VLOOKUP("EUR",Setup!$A$38:$E$52,5,FALSE),""))</f>
        <v/>
      </c>
      <c r="S7" s="54" t="str">
        <f>IF(Q7="","",IFERROR(Q7/VLOOKUP("USD",Setup!$A$38:$E$52,5,FALSE),""))</f>
        <v/>
      </c>
    </row>
    <row r="8" ht="24.0" customHeight="1">
      <c r="A8" s="78"/>
      <c r="B8" s="78"/>
      <c r="C8" s="97" t="str">
        <f t="array" ref="C8">IF(B8="","",IFERROR(INDEX(Applications!$C$6:$C$205,MATCH(B8,Applications!$A$6:$A$205,0)),""))</f>
        <v/>
      </c>
      <c r="D8" s="99"/>
      <c r="E8" s="99"/>
      <c r="F8" s="104"/>
      <c r="G8" s="99"/>
      <c r="H8" s="78"/>
      <c r="I8" s="65"/>
      <c r="J8" s="104"/>
      <c r="K8" s="99"/>
      <c r="L8" s="110" t="b">
        <v>0</v>
      </c>
      <c r="M8" s="78"/>
      <c r="N8" s="54" t="str">
        <f>IF(OR(F8="",G8=""),"",IFERROR(F8*VLOOKUP(G8,Setup!$A$38:$E$52,5,FALSE),""))</f>
        <v/>
      </c>
      <c r="O8" s="54" t="str">
        <f>IF(N8="","",IFERROR(N8/VLOOKUP("EUR",Setup!$A$38:$E$52,5,FALSE),""))</f>
        <v/>
      </c>
      <c r="P8" s="54" t="str">
        <f>IF(N8="","",IFERROR(N8/VLOOKUP("USD",Setup!$A$38:$E$52,5,FALSE),""))</f>
        <v/>
      </c>
      <c r="Q8" s="54" t="str">
        <f>IF(OR(J8="",K8=""),"",IFERROR(J8*VLOOKUP(K8,Setup!$A$38:$E$52,5,FALSE),""))</f>
        <v/>
      </c>
      <c r="R8" s="54" t="str">
        <f>IF(Q8="","",IFERROR(Q8/VLOOKUP("EUR",Setup!$A$38:$E$52,5,FALSE),""))</f>
        <v/>
      </c>
      <c r="S8" s="54" t="str">
        <f>IF(Q8="","",IFERROR(Q8/VLOOKUP("USD",Setup!$A$38:$E$52,5,FALSE),""))</f>
        <v/>
      </c>
    </row>
    <row r="9" ht="24.0" customHeight="1">
      <c r="A9" s="78"/>
      <c r="B9" s="78"/>
      <c r="C9" s="97" t="str">
        <f t="array" ref="C9">IF(B9="","",IFERROR(INDEX(Applications!$C$6:$C$205,MATCH(B9,Applications!$A$6:$A$205,0)),""))</f>
        <v/>
      </c>
      <c r="D9" s="99"/>
      <c r="E9" s="99"/>
      <c r="F9" s="104"/>
      <c r="G9" s="99"/>
      <c r="H9" s="78"/>
      <c r="I9" s="65"/>
      <c r="J9" s="104"/>
      <c r="K9" s="99"/>
      <c r="L9" s="110" t="b">
        <v>0</v>
      </c>
      <c r="M9" s="78"/>
      <c r="N9" s="54" t="str">
        <f>IF(OR(F9="",G9=""),"",IFERROR(F9*VLOOKUP(G9,Setup!$A$38:$E$52,5,FALSE),""))</f>
        <v/>
      </c>
      <c r="O9" s="54" t="str">
        <f>IF(N9="","",IFERROR(N9/VLOOKUP("EUR",Setup!$A$38:$E$52,5,FALSE),""))</f>
        <v/>
      </c>
      <c r="P9" s="54" t="str">
        <f>IF(N9="","",IFERROR(N9/VLOOKUP("USD",Setup!$A$38:$E$52,5,FALSE),""))</f>
        <v/>
      </c>
      <c r="Q9" s="54" t="str">
        <f>IF(OR(J9="",K9=""),"",IFERROR(J9*VLOOKUP(K9,Setup!$A$38:$E$52,5,FALSE),""))</f>
        <v/>
      </c>
      <c r="R9" s="54" t="str">
        <f>IF(Q9="","",IFERROR(Q9/VLOOKUP("EUR",Setup!$A$38:$E$52,5,FALSE),""))</f>
        <v/>
      </c>
      <c r="S9" s="54" t="str">
        <f>IF(Q9="","",IFERROR(Q9/VLOOKUP("USD",Setup!$A$38:$E$52,5,FALSE),""))</f>
        <v/>
      </c>
    </row>
    <row r="10" ht="24.0" customHeight="1">
      <c r="A10" s="78"/>
      <c r="B10" s="78"/>
      <c r="C10" s="97" t="str">
        <f t="array" ref="C10">IF(B10="","",IFERROR(INDEX(Applications!$C$6:$C$205,MATCH(B10,Applications!$A$6:$A$205,0)),""))</f>
        <v/>
      </c>
      <c r="D10" s="99"/>
      <c r="E10" s="99"/>
      <c r="F10" s="104"/>
      <c r="G10" s="99"/>
      <c r="H10" s="78"/>
      <c r="I10" s="65"/>
      <c r="J10" s="104"/>
      <c r="K10" s="99"/>
      <c r="L10" s="110" t="b">
        <v>0</v>
      </c>
      <c r="M10" s="78"/>
      <c r="N10" s="54" t="str">
        <f>IF(OR(F10="",G10=""),"",IFERROR(F10*VLOOKUP(G10,Setup!$A$38:$E$52,5,FALSE),""))</f>
        <v/>
      </c>
      <c r="O10" s="54" t="str">
        <f>IF(N10="","",IFERROR(N10/VLOOKUP("EUR",Setup!$A$38:$E$52,5,FALSE),""))</f>
        <v/>
      </c>
      <c r="P10" s="54" t="str">
        <f>IF(N10="","",IFERROR(N10/VLOOKUP("USD",Setup!$A$38:$E$52,5,FALSE),""))</f>
        <v/>
      </c>
      <c r="Q10" s="54" t="str">
        <f>IF(OR(J10="",K10=""),"",IFERROR(J10*VLOOKUP(K10,Setup!$A$38:$E$52,5,FALSE),""))</f>
        <v/>
      </c>
      <c r="R10" s="54" t="str">
        <f>IF(Q10="","",IFERROR(Q10/VLOOKUP("EUR",Setup!$A$38:$E$52,5,FALSE),""))</f>
        <v/>
      </c>
      <c r="S10" s="54" t="str">
        <f>IF(Q10="","",IFERROR(Q10/VLOOKUP("USD",Setup!$A$38:$E$52,5,FALSE),""))</f>
        <v/>
      </c>
    </row>
    <row r="11" ht="24.0" customHeight="1">
      <c r="A11" s="78"/>
      <c r="B11" s="78"/>
      <c r="C11" s="97" t="str">
        <f t="array" ref="C11">IF(B11="","",IFERROR(INDEX(Applications!$C$6:$C$205,MATCH(B11,Applications!$A$6:$A$205,0)),""))</f>
        <v/>
      </c>
      <c r="D11" s="99"/>
      <c r="E11" s="99"/>
      <c r="F11" s="104"/>
      <c r="G11" s="99"/>
      <c r="H11" s="78"/>
      <c r="I11" s="65"/>
      <c r="J11" s="104"/>
      <c r="K11" s="99"/>
      <c r="L11" s="110" t="b">
        <v>0</v>
      </c>
      <c r="M11" s="78"/>
      <c r="N11" s="54" t="str">
        <f>IF(OR(F11="",G11=""),"",IFERROR(F11*VLOOKUP(G11,Setup!$A$38:$E$52,5,FALSE),""))</f>
        <v/>
      </c>
      <c r="O11" s="54" t="str">
        <f>IF(N11="","",IFERROR(N11/VLOOKUP("EUR",Setup!$A$38:$E$52,5,FALSE),""))</f>
        <v/>
      </c>
      <c r="P11" s="54" t="str">
        <f>IF(N11="","",IFERROR(N11/VLOOKUP("USD",Setup!$A$38:$E$52,5,FALSE),""))</f>
        <v/>
      </c>
      <c r="Q11" s="54" t="str">
        <f>IF(OR(J11="",K11=""),"",IFERROR(J11*VLOOKUP(K11,Setup!$A$38:$E$52,5,FALSE),""))</f>
        <v/>
      </c>
      <c r="R11" s="54" t="str">
        <f>IF(Q11="","",IFERROR(Q11/VLOOKUP("EUR",Setup!$A$38:$E$52,5,FALSE),""))</f>
        <v/>
      </c>
      <c r="S11" s="54" t="str">
        <f>IF(Q11="","",IFERROR(Q11/VLOOKUP("USD",Setup!$A$38:$E$52,5,FALSE),""))</f>
        <v/>
      </c>
    </row>
    <row r="12" ht="24.0" customHeight="1">
      <c r="A12" s="78"/>
      <c r="B12" s="78"/>
      <c r="C12" s="97" t="str">
        <f t="array" ref="C12">IF(B12="","",IFERROR(INDEX(Applications!$C$6:$C$205,MATCH(B12,Applications!$A$6:$A$205,0)),""))</f>
        <v/>
      </c>
      <c r="D12" s="99"/>
      <c r="E12" s="99"/>
      <c r="F12" s="104"/>
      <c r="G12" s="99"/>
      <c r="H12" s="78"/>
      <c r="I12" s="65"/>
      <c r="J12" s="104"/>
      <c r="K12" s="99"/>
      <c r="L12" s="110" t="b">
        <v>0</v>
      </c>
      <c r="M12" s="78"/>
      <c r="N12" s="54" t="str">
        <f>IF(OR(F12="",G12=""),"",IFERROR(F12*VLOOKUP(G12,Setup!$A$38:$E$52,5,FALSE),""))</f>
        <v/>
      </c>
      <c r="O12" s="54" t="str">
        <f>IF(N12="","",IFERROR(N12/VLOOKUP("EUR",Setup!$A$38:$E$52,5,FALSE),""))</f>
        <v/>
      </c>
      <c r="P12" s="54" t="str">
        <f>IF(N12="","",IFERROR(N12/VLOOKUP("USD",Setup!$A$38:$E$52,5,FALSE),""))</f>
        <v/>
      </c>
      <c r="Q12" s="54" t="str">
        <f>IF(OR(J12="",K12=""),"",IFERROR(J12*VLOOKUP(K12,Setup!$A$38:$E$52,5,FALSE),""))</f>
        <v/>
      </c>
      <c r="R12" s="54" t="str">
        <f>IF(Q12="","",IFERROR(Q12/VLOOKUP("EUR",Setup!$A$38:$E$52,5,FALSE),""))</f>
        <v/>
      </c>
      <c r="S12" s="54" t="str">
        <f>IF(Q12="","",IFERROR(Q12/VLOOKUP("USD",Setup!$A$38:$E$52,5,FALSE),""))</f>
        <v/>
      </c>
    </row>
    <row r="13" ht="24.0" customHeight="1">
      <c r="A13" s="78"/>
      <c r="B13" s="78"/>
      <c r="C13" s="97" t="str">
        <f t="array" ref="C13">IF(B13="","",IFERROR(INDEX(Applications!$C$6:$C$205,MATCH(B13,Applications!$A$6:$A$205,0)),""))</f>
        <v/>
      </c>
      <c r="D13" s="99"/>
      <c r="E13" s="99"/>
      <c r="F13" s="104"/>
      <c r="G13" s="99"/>
      <c r="H13" s="78"/>
      <c r="I13" s="65"/>
      <c r="J13" s="104"/>
      <c r="K13" s="99"/>
      <c r="L13" s="110" t="b">
        <v>0</v>
      </c>
      <c r="M13" s="78"/>
      <c r="N13" s="54" t="str">
        <f>IF(OR(F13="",G13=""),"",IFERROR(F13*VLOOKUP(G13,Setup!$A$38:$E$52,5,FALSE),""))</f>
        <v/>
      </c>
      <c r="O13" s="54" t="str">
        <f>IF(N13="","",IFERROR(N13/VLOOKUP("EUR",Setup!$A$38:$E$52,5,FALSE),""))</f>
        <v/>
      </c>
      <c r="P13" s="54" t="str">
        <f>IF(N13="","",IFERROR(N13/VLOOKUP("USD",Setup!$A$38:$E$52,5,FALSE),""))</f>
        <v/>
      </c>
      <c r="Q13" s="54" t="str">
        <f>IF(OR(J13="",K13=""),"",IFERROR(J13*VLOOKUP(K13,Setup!$A$38:$E$52,5,FALSE),""))</f>
        <v/>
      </c>
      <c r="R13" s="54" t="str">
        <f>IF(Q13="","",IFERROR(Q13/VLOOKUP("EUR",Setup!$A$38:$E$52,5,FALSE),""))</f>
        <v/>
      </c>
      <c r="S13" s="54" t="str">
        <f>IF(Q13="","",IFERROR(Q13/VLOOKUP("USD",Setup!$A$38:$E$52,5,FALSE),""))</f>
        <v/>
      </c>
    </row>
    <row r="14" ht="24.0" customHeight="1">
      <c r="A14" s="78"/>
      <c r="B14" s="78"/>
      <c r="C14" s="97" t="str">
        <f t="array" ref="C14">IF(B14="","",IFERROR(INDEX(Applications!$C$6:$C$205,MATCH(B14,Applications!$A$6:$A$205,0)),""))</f>
        <v/>
      </c>
      <c r="D14" s="99"/>
      <c r="E14" s="99"/>
      <c r="F14" s="104"/>
      <c r="G14" s="99"/>
      <c r="H14" s="78"/>
      <c r="I14" s="65"/>
      <c r="J14" s="104"/>
      <c r="K14" s="99"/>
      <c r="L14" s="110" t="b">
        <v>0</v>
      </c>
      <c r="M14" s="78"/>
      <c r="N14" s="54" t="str">
        <f>IF(OR(F14="",G14=""),"",IFERROR(F14*VLOOKUP(G14,Setup!$A$38:$E$52,5,FALSE),""))</f>
        <v/>
      </c>
      <c r="O14" s="54" t="str">
        <f>IF(N14="","",IFERROR(N14/VLOOKUP("EUR",Setup!$A$38:$E$52,5,FALSE),""))</f>
        <v/>
      </c>
      <c r="P14" s="54" t="str">
        <f>IF(N14="","",IFERROR(N14/VLOOKUP("USD",Setup!$A$38:$E$52,5,FALSE),""))</f>
        <v/>
      </c>
      <c r="Q14" s="54" t="str">
        <f>IF(OR(J14="",K14=""),"",IFERROR(J14*VLOOKUP(K14,Setup!$A$38:$E$52,5,FALSE),""))</f>
        <v/>
      </c>
      <c r="R14" s="54" t="str">
        <f>IF(Q14="","",IFERROR(Q14/VLOOKUP("EUR",Setup!$A$38:$E$52,5,FALSE),""))</f>
        <v/>
      </c>
      <c r="S14" s="54" t="str">
        <f>IF(Q14="","",IFERROR(Q14/VLOOKUP("USD",Setup!$A$38:$E$52,5,FALSE),""))</f>
        <v/>
      </c>
    </row>
    <row r="15" ht="24.0" customHeight="1">
      <c r="A15" s="78"/>
      <c r="B15" s="78"/>
      <c r="C15" s="97" t="str">
        <f t="array" ref="C15">IF(B15="","",IFERROR(INDEX(Applications!$C$6:$C$205,MATCH(B15,Applications!$A$6:$A$205,0)),""))</f>
        <v/>
      </c>
      <c r="D15" s="99"/>
      <c r="E15" s="99"/>
      <c r="F15" s="104"/>
      <c r="G15" s="99"/>
      <c r="H15" s="78"/>
      <c r="I15" s="65"/>
      <c r="J15" s="104"/>
      <c r="K15" s="99"/>
      <c r="L15" s="110" t="b">
        <v>0</v>
      </c>
      <c r="M15" s="78"/>
      <c r="N15" s="54" t="str">
        <f>IF(OR(F15="",G15=""),"",IFERROR(F15*VLOOKUP(G15,Setup!$A$38:$E$52,5,FALSE),""))</f>
        <v/>
      </c>
      <c r="O15" s="54" t="str">
        <f>IF(N15="","",IFERROR(N15/VLOOKUP("EUR",Setup!$A$38:$E$52,5,FALSE),""))</f>
        <v/>
      </c>
      <c r="P15" s="54" t="str">
        <f>IF(N15="","",IFERROR(N15/VLOOKUP("USD",Setup!$A$38:$E$52,5,FALSE),""))</f>
        <v/>
      </c>
      <c r="Q15" s="54" t="str">
        <f>IF(OR(J15="",K15=""),"",IFERROR(J15*VLOOKUP(K15,Setup!$A$38:$E$52,5,FALSE),""))</f>
        <v/>
      </c>
      <c r="R15" s="54" t="str">
        <f>IF(Q15="","",IFERROR(Q15/VLOOKUP("EUR",Setup!$A$38:$E$52,5,FALSE),""))</f>
        <v/>
      </c>
      <c r="S15" s="54" t="str">
        <f>IF(Q15="","",IFERROR(Q15/VLOOKUP("USD",Setup!$A$38:$E$52,5,FALSE),""))</f>
        <v/>
      </c>
    </row>
    <row r="16" ht="24.0" customHeight="1">
      <c r="A16" s="78"/>
      <c r="B16" s="78"/>
      <c r="C16" s="97" t="str">
        <f t="array" ref="C16">IF(B16="","",IFERROR(INDEX(Applications!$C$6:$C$205,MATCH(B16,Applications!$A$6:$A$205,0)),""))</f>
        <v/>
      </c>
      <c r="D16" s="99"/>
      <c r="E16" s="99"/>
      <c r="F16" s="104"/>
      <c r="G16" s="99"/>
      <c r="H16" s="78"/>
      <c r="I16" s="65"/>
      <c r="J16" s="104"/>
      <c r="K16" s="99"/>
      <c r="L16" s="110" t="b">
        <v>0</v>
      </c>
      <c r="M16" s="78"/>
      <c r="N16" s="54" t="str">
        <f>IF(OR(F16="",G16=""),"",IFERROR(F16*VLOOKUP(G16,Setup!$A$38:$E$52,5,FALSE),""))</f>
        <v/>
      </c>
      <c r="O16" s="54" t="str">
        <f>IF(N16="","",IFERROR(N16/VLOOKUP("EUR",Setup!$A$38:$E$52,5,FALSE),""))</f>
        <v/>
      </c>
      <c r="P16" s="54" t="str">
        <f>IF(N16="","",IFERROR(N16/VLOOKUP("USD",Setup!$A$38:$E$52,5,FALSE),""))</f>
        <v/>
      </c>
      <c r="Q16" s="54" t="str">
        <f>IF(OR(J16="",K16=""),"",IFERROR(J16*VLOOKUP(K16,Setup!$A$38:$E$52,5,FALSE),""))</f>
        <v/>
      </c>
      <c r="R16" s="54" t="str">
        <f>IF(Q16="","",IFERROR(Q16/VLOOKUP("EUR",Setup!$A$38:$E$52,5,FALSE),""))</f>
        <v/>
      </c>
      <c r="S16" s="54" t="str">
        <f>IF(Q16="","",IFERROR(Q16/VLOOKUP("USD",Setup!$A$38:$E$52,5,FALSE),""))</f>
        <v/>
      </c>
    </row>
    <row r="17" ht="24.0" customHeight="1">
      <c r="A17" s="78"/>
      <c r="B17" s="78"/>
      <c r="C17" s="97" t="str">
        <f t="array" ref="C17">IF(B17="","",IFERROR(INDEX(Applications!$C$6:$C$205,MATCH(B17,Applications!$A$6:$A$205,0)),""))</f>
        <v/>
      </c>
      <c r="D17" s="99"/>
      <c r="E17" s="99"/>
      <c r="F17" s="104"/>
      <c r="G17" s="99"/>
      <c r="H17" s="78"/>
      <c r="I17" s="65"/>
      <c r="J17" s="104"/>
      <c r="K17" s="99"/>
      <c r="L17" s="110" t="b">
        <v>0</v>
      </c>
      <c r="M17" s="78"/>
      <c r="N17" s="54" t="str">
        <f>IF(OR(F17="",G17=""),"",IFERROR(F17*VLOOKUP(G17,Setup!$A$38:$E$52,5,FALSE),""))</f>
        <v/>
      </c>
      <c r="O17" s="54" t="str">
        <f>IF(N17="","",IFERROR(N17/VLOOKUP("EUR",Setup!$A$38:$E$52,5,FALSE),""))</f>
        <v/>
      </c>
      <c r="P17" s="54" t="str">
        <f>IF(N17="","",IFERROR(N17/VLOOKUP("USD",Setup!$A$38:$E$52,5,FALSE),""))</f>
        <v/>
      </c>
      <c r="Q17" s="54" t="str">
        <f>IF(OR(J17="",K17=""),"",IFERROR(J17*VLOOKUP(K17,Setup!$A$38:$E$52,5,FALSE),""))</f>
        <v/>
      </c>
      <c r="R17" s="54" t="str">
        <f>IF(Q17="","",IFERROR(Q17/VLOOKUP("EUR",Setup!$A$38:$E$52,5,FALSE),""))</f>
        <v/>
      </c>
      <c r="S17" s="54" t="str">
        <f>IF(Q17="","",IFERROR(Q17/VLOOKUP("USD",Setup!$A$38:$E$52,5,FALSE),""))</f>
        <v/>
      </c>
    </row>
    <row r="18" ht="24.0" customHeight="1">
      <c r="A18" s="78"/>
      <c r="B18" s="78"/>
      <c r="C18" s="97" t="str">
        <f t="array" ref="C18">IF(B18="","",IFERROR(INDEX(Applications!$C$6:$C$205,MATCH(B18,Applications!$A$6:$A$205,0)),""))</f>
        <v/>
      </c>
      <c r="D18" s="99"/>
      <c r="E18" s="99"/>
      <c r="F18" s="104"/>
      <c r="G18" s="99"/>
      <c r="H18" s="78"/>
      <c r="I18" s="65"/>
      <c r="J18" s="104"/>
      <c r="K18" s="99"/>
      <c r="L18" s="110" t="b">
        <v>0</v>
      </c>
      <c r="M18" s="78"/>
      <c r="N18" s="54" t="str">
        <f>IF(OR(F18="",G18=""),"",IFERROR(F18*VLOOKUP(G18,Setup!$A$38:$E$52,5,FALSE),""))</f>
        <v/>
      </c>
      <c r="O18" s="54" t="str">
        <f>IF(N18="","",IFERROR(N18/VLOOKUP("EUR",Setup!$A$38:$E$52,5,FALSE),""))</f>
        <v/>
      </c>
      <c r="P18" s="54" t="str">
        <f>IF(N18="","",IFERROR(N18/VLOOKUP("USD",Setup!$A$38:$E$52,5,FALSE),""))</f>
        <v/>
      </c>
      <c r="Q18" s="54" t="str">
        <f>IF(OR(J18="",K18=""),"",IFERROR(J18*VLOOKUP(K18,Setup!$A$38:$E$52,5,FALSE),""))</f>
        <v/>
      </c>
      <c r="R18" s="54" t="str">
        <f>IF(Q18="","",IFERROR(Q18/VLOOKUP("EUR",Setup!$A$38:$E$52,5,FALSE),""))</f>
        <v/>
      </c>
      <c r="S18" s="54" t="str">
        <f>IF(Q18="","",IFERROR(Q18/VLOOKUP("USD",Setup!$A$38:$E$52,5,FALSE),""))</f>
        <v/>
      </c>
    </row>
    <row r="19" ht="24.0" customHeight="1">
      <c r="A19" s="78"/>
      <c r="B19" s="78"/>
      <c r="C19" s="97" t="str">
        <f t="array" ref="C19">IF(B19="","",IFERROR(INDEX(Applications!$C$6:$C$205,MATCH(B19,Applications!$A$6:$A$205,0)),""))</f>
        <v/>
      </c>
      <c r="D19" s="99"/>
      <c r="E19" s="99"/>
      <c r="F19" s="104"/>
      <c r="G19" s="99"/>
      <c r="H19" s="78"/>
      <c r="I19" s="65"/>
      <c r="J19" s="104"/>
      <c r="K19" s="99"/>
      <c r="L19" s="110" t="b">
        <v>0</v>
      </c>
      <c r="M19" s="78"/>
      <c r="N19" s="54" t="str">
        <f>IF(OR(F19="",G19=""),"",IFERROR(F19*VLOOKUP(G19,Setup!$A$38:$E$52,5,FALSE),""))</f>
        <v/>
      </c>
      <c r="O19" s="54" t="str">
        <f>IF(N19="","",IFERROR(N19/VLOOKUP("EUR",Setup!$A$38:$E$52,5,FALSE),""))</f>
        <v/>
      </c>
      <c r="P19" s="54" t="str">
        <f>IF(N19="","",IFERROR(N19/VLOOKUP("USD",Setup!$A$38:$E$52,5,FALSE),""))</f>
        <v/>
      </c>
      <c r="Q19" s="54" t="str">
        <f>IF(OR(J19="",K19=""),"",IFERROR(J19*VLOOKUP(K19,Setup!$A$38:$E$52,5,FALSE),""))</f>
        <v/>
      </c>
      <c r="R19" s="54" t="str">
        <f>IF(Q19="","",IFERROR(Q19/VLOOKUP("EUR",Setup!$A$38:$E$52,5,FALSE),""))</f>
        <v/>
      </c>
      <c r="S19" s="54" t="str">
        <f>IF(Q19="","",IFERROR(Q19/VLOOKUP("USD",Setup!$A$38:$E$52,5,FALSE),""))</f>
        <v/>
      </c>
    </row>
    <row r="20" ht="24.0" customHeight="1">
      <c r="A20" s="78"/>
      <c r="B20" s="78"/>
      <c r="C20" s="97" t="str">
        <f t="array" ref="C20">IF(B20="","",IFERROR(INDEX(Applications!$C$6:$C$205,MATCH(B20,Applications!$A$6:$A$205,0)),""))</f>
        <v/>
      </c>
      <c r="D20" s="99"/>
      <c r="E20" s="99"/>
      <c r="F20" s="104"/>
      <c r="G20" s="99"/>
      <c r="H20" s="78"/>
      <c r="I20" s="65"/>
      <c r="J20" s="104"/>
      <c r="K20" s="99"/>
      <c r="L20" s="110" t="b">
        <v>0</v>
      </c>
      <c r="M20" s="78"/>
      <c r="N20" s="54" t="str">
        <f>IF(OR(F20="",G20=""),"",IFERROR(F20*VLOOKUP(G20,Setup!$A$38:$E$52,5,FALSE),""))</f>
        <v/>
      </c>
      <c r="O20" s="54" t="str">
        <f>IF(N20="","",IFERROR(N20/VLOOKUP("EUR",Setup!$A$38:$E$52,5,FALSE),""))</f>
        <v/>
      </c>
      <c r="P20" s="54" t="str">
        <f>IF(N20="","",IFERROR(N20/VLOOKUP("USD",Setup!$A$38:$E$52,5,FALSE),""))</f>
        <v/>
      </c>
      <c r="Q20" s="54" t="str">
        <f>IF(OR(J20="",K20=""),"",IFERROR(J20*VLOOKUP(K20,Setup!$A$38:$E$52,5,FALSE),""))</f>
        <v/>
      </c>
      <c r="R20" s="54" t="str">
        <f>IF(Q20="","",IFERROR(Q20/VLOOKUP("EUR",Setup!$A$38:$E$52,5,FALSE),""))</f>
        <v/>
      </c>
      <c r="S20" s="54" t="str">
        <f>IF(Q20="","",IFERROR(Q20/VLOOKUP("USD",Setup!$A$38:$E$52,5,FALSE),""))</f>
        <v/>
      </c>
    </row>
    <row r="21" ht="24.0" customHeight="1">
      <c r="A21" s="78"/>
      <c r="B21" s="78"/>
      <c r="C21" s="97" t="str">
        <f t="array" ref="C21">IF(B21="","",IFERROR(INDEX(Applications!$C$6:$C$205,MATCH(B21,Applications!$A$6:$A$205,0)),""))</f>
        <v/>
      </c>
      <c r="D21" s="99"/>
      <c r="E21" s="99"/>
      <c r="F21" s="104"/>
      <c r="G21" s="99"/>
      <c r="H21" s="78"/>
      <c r="I21" s="65"/>
      <c r="J21" s="104"/>
      <c r="K21" s="99"/>
      <c r="L21" s="110" t="b">
        <v>0</v>
      </c>
      <c r="M21" s="78"/>
      <c r="N21" s="54" t="str">
        <f>IF(OR(F21="",G21=""),"",IFERROR(F21*VLOOKUP(G21,Setup!$A$38:$E$52,5,FALSE),""))</f>
        <v/>
      </c>
      <c r="O21" s="54" t="str">
        <f>IF(N21="","",IFERROR(N21/VLOOKUP("EUR",Setup!$A$38:$E$52,5,FALSE),""))</f>
        <v/>
      </c>
      <c r="P21" s="54" t="str">
        <f>IF(N21="","",IFERROR(N21/VLOOKUP("USD",Setup!$A$38:$E$52,5,FALSE),""))</f>
        <v/>
      </c>
      <c r="Q21" s="54" t="str">
        <f>IF(OR(J21="",K21=""),"",IFERROR(J21*VLOOKUP(K21,Setup!$A$38:$E$52,5,FALSE),""))</f>
        <v/>
      </c>
      <c r="R21" s="54" t="str">
        <f>IF(Q21="","",IFERROR(Q21/VLOOKUP("EUR",Setup!$A$38:$E$52,5,FALSE),""))</f>
        <v/>
      </c>
      <c r="S21" s="54" t="str">
        <f>IF(Q21="","",IFERROR(Q21/VLOOKUP("USD",Setup!$A$38:$E$52,5,FALSE),""))</f>
        <v/>
      </c>
    </row>
    <row r="22" ht="24.0" customHeight="1">
      <c r="A22" s="78"/>
      <c r="B22" s="78"/>
      <c r="C22" s="97" t="str">
        <f t="array" ref="C22">IF(B22="","",IFERROR(INDEX(Applications!$C$6:$C$205,MATCH(B22,Applications!$A$6:$A$205,0)),""))</f>
        <v/>
      </c>
      <c r="D22" s="99"/>
      <c r="E22" s="99"/>
      <c r="F22" s="104"/>
      <c r="G22" s="99"/>
      <c r="H22" s="78"/>
      <c r="I22" s="65"/>
      <c r="J22" s="104"/>
      <c r="K22" s="99"/>
      <c r="L22" s="110" t="b">
        <v>0</v>
      </c>
      <c r="M22" s="78"/>
      <c r="N22" s="54" t="str">
        <f>IF(OR(F22="",G22=""),"",IFERROR(F22*VLOOKUP(G22,Setup!$A$38:$E$52,5,FALSE),""))</f>
        <v/>
      </c>
      <c r="O22" s="54" t="str">
        <f>IF(N22="","",IFERROR(N22/VLOOKUP("EUR",Setup!$A$38:$E$52,5,FALSE),""))</f>
        <v/>
      </c>
      <c r="P22" s="54" t="str">
        <f>IF(N22="","",IFERROR(N22/VLOOKUP("USD",Setup!$A$38:$E$52,5,FALSE),""))</f>
        <v/>
      </c>
      <c r="Q22" s="54" t="str">
        <f>IF(OR(J22="",K22=""),"",IFERROR(J22*VLOOKUP(K22,Setup!$A$38:$E$52,5,FALSE),""))</f>
        <v/>
      </c>
      <c r="R22" s="54" t="str">
        <f>IF(Q22="","",IFERROR(Q22/VLOOKUP("EUR",Setup!$A$38:$E$52,5,FALSE),""))</f>
        <v/>
      </c>
      <c r="S22" s="54" t="str">
        <f>IF(Q22="","",IFERROR(Q22/VLOOKUP("USD",Setup!$A$38:$E$52,5,FALSE),""))</f>
        <v/>
      </c>
    </row>
    <row r="23" ht="24.0" customHeight="1">
      <c r="A23" s="78"/>
      <c r="B23" s="78"/>
      <c r="C23" s="97" t="str">
        <f t="array" ref="C23">IF(B23="","",IFERROR(INDEX(Applications!$C$6:$C$205,MATCH(B23,Applications!$A$6:$A$205,0)),""))</f>
        <v/>
      </c>
      <c r="D23" s="99"/>
      <c r="E23" s="99"/>
      <c r="F23" s="104"/>
      <c r="G23" s="99"/>
      <c r="H23" s="78"/>
      <c r="I23" s="65"/>
      <c r="J23" s="104"/>
      <c r="K23" s="99"/>
      <c r="L23" s="110" t="b">
        <v>0</v>
      </c>
      <c r="M23" s="78"/>
      <c r="N23" s="54" t="str">
        <f>IF(OR(F23="",G23=""),"",IFERROR(F23*VLOOKUP(G23,Setup!$A$38:$E$52,5,FALSE),""))</f>
        <v/>
      </c>
      <c r="O23" s="54" t="str">
        <f>IF(N23="","",IFERROR(N23/VLOOKUP("EUR",Setup!$A$38:$E$52,5,FALSE),""))</f>
        <v/>
      </c>
      <c r="P23" s="54" t="str">
        <f>IF(N23="","",IFERROR(N23/VLOOKUP("USD",Setup!$A$38:$E$52,5,FALSE),""))</f>
        <v/>
      </c>
      <c r="Q23" s="54" t="str">
        <f>IF(OR(J23="",K23=""),"",IFERROR(J23*VLOOKUP(K23,Setup!$A$38:$E$52,5,FALSE),""))</f>
        <v/>
      </c>
      <c r="R23" s="54" t="str">
        <f>IF(Q23="","",IFERROR(Q23/VLOOKUP("EUR",Setup!$A$38:$E$52,5,FALSE),""))</f>
        <v/>
      </c>
      <c r="S23" s="54" t="str">
        <f>IF(Q23="","",IFERROR(Q23/VLOOKUP("USD",Setup!$A$38:$E$52,5,FALSE),""))</f>
        <v/>
      </c>
    </row>
    <row r="24" ht="24.0" customHeight="1">
      <c r="A24" s="78"/>
      <c r="B24" s="78"/>
      <c r="C24" s="97" t="str">
        <f t="array" ref="C24">IF(B24="","",IFERROR(INDEX(Applications!$C$6:$C$205,MATCH(B24,Applications!$A$6:$A$205,0)),""))</f>
        <v/>
      </c>
      <c r="D24" s="99"/>
      <c r="E24" s="99"/>
      <c r="F24" s="104"/>
      <c r="G24" s="99"/>
      <c r="H24" s="78"/>
      <c r="I24" s="65"/>
      <c r="J24" s="104"/>
      <c r="K24" s="99"/>
      <c r="L24" s="110" t="b">
        <v>0</v>
      </c>
      <c r="M24" s="78"/>
      <c r="N24" s="54" t="str">
        <f>IF(OR(F24="",G24=""),"",IFERROR(F24*VLOOKUP(G24,Setup!$A$38:$E$52,5,FALSE),""))</f>
        <v/>
      </c>
      <c r="O24" s="54" t="str">
        <f>IF(N24="","",IFERROR(N24/VLOOKUP("EUR",Setup!$A$38:$E$52,5,FALSE),""))</f>
        <v/>
      </c>
      <c r="P24" s="54" t="str">
        <f>IF(N24="","",IFERROR(N24/VLOOKUP("USD",Setup!$A$38:$E$52,5,FALSE),""))</f>
        <v/>
      </c>
      <c r="Q24" s="54" t="str">
        <f>IF(OR(J24="",K24=""),"",IFERROR(J24*VLOOKUP(K24,Setup!$A$38:$E$52,5,FALSE),""))</f>
        <v/>
      </c>
      <c r="R24" s="54" t="str">
        <f>IF(Q24="","",IFERROR(Q24/VLOOKUP("EUR",Setup!$A$38:$E$52,5,FALSE),""))</f>
        <v/>
      </c>
      <c r="S24" s="54" t="str">
        <f>IF(Q24="","",IFERROR(Q24/VLOOKUP("USD",Setup!$A$38:$E$52,5,FALSE),""))</f>
        <v/>
      </c>
    </row>
    <row r="25" ht="24.0" customHeight="1">
      <c r="A25" s="78"/>
      <c r="B25" s="78"/>
      <c r="C25" s="97" t="str">
        <f t="array" ref="C25">IF(B25="","",IFERROR(INDEX(Applications!$C$6:$C$205,MATCH(B25,Applications!$A$6:$A$205,0)),""))</f>
        <v/>
      </c>
      <c r="D25" s="99"/>
      <c r="E25" s="99"/>
      <c r="F25" s="104"/>
      <c r="G25" s="99"/>
      <c r="H25" s="78"/>
      <c r="I25" s="65"/>
      <c r="J25" s="104"/>
      <c r="K25" s="99"/>
      <c r="L25" s="110" t="b">
        <v>0</v>
      </c>
      <c r="M25" s="78"/>
      <c r="N25" s="54" t="str">
        <f>IF(OR(F25="",G25=""),"",IFERROR(F25*VLOOKUP(G25,Setup!$A$38:$E$52,5,FALSE),""))</f>
        <v/>
      </c>
      <c r="O25" s="54" t="str">
        <f>IF(N25="","",IFERROR(N25/VLOOKUP("EUR",Setup!$A$38:$E$52,5,FALSE),""))</f>
        <v/>
      </c>
      <c r="P25" s="54" t="str">
        <f>IF(N25="","",IFERROR(N25/VLOOKUP("USD",Setup!$A$38:$E$52,5,FALSE),""))</f>
        <v/>
      </c>
      <c r="Q25" s="54" t="str">
        <f>IF(OR(J25="",K25=""),"",IFERROR(J25*VLOOKUP(K25,Setup!$A$38:$E$52,5,FALSE),""))</f>
        <v/>
      </c>
      <c r="R25" s="54" t="str">
        <f>IF(Q25="","",IFERROR(Q25/VLOOKUP("EUR",Setup!$A$38:$E$52,5,FALSE),""))</f>
        <v/>
      </c>
      <c r="S25" s="54" t="str">
        <f>IF(Q25="","",IFERROR(Q25/VLOOKUP("USD",Setup!$A$38:$E$52,5,FALSE),""))</f>
        <v/>
      </c>
    </row>
    <row r="26" ht="24.0" customHeight="1">
      <c r="A26" s="78"/>
      <c r="B26" s="78"/>
      <c r="C26" s="97" t="str">
        <f t="array" ref="C26">IF(B26="","",IFERROR(INDEX(Applications!$C$6:$C$205,MATCH(B26,Applications!$A$6:$A$205,0)),""))</f>
        <v/>
      </c>
      <c r="D26" s="99"/>
      <c r="E26" s="99"/>
      <c r="F26" s="104"/>
      <c r="G26" s="99"/>
      <c r="H26" s="78"/>
      <c r="I26" s="65"/>
      <c r="J26" s="104"/>
      <c r="K26" s="99"/>
      <c r="L26" s="110" t="b">
        <v>0</v>
      </c>
      <c r="M26" s="78"/>
      <c r="N26" s="54" t="str">
        <f>IF(OR(F26="",G26=""),"",IFERROR(F26*VLOOKUP(G26,Setup!$A$38:$E$52,5,FALSE),""))</f>
        <v/>
      </c>
      <c r="O26" s="54" t="str">
        <f>IF(N26="","",IFERROR(N26/VLOOKUP("EUR",Setup!$A$38:$E$52,5,FALSE),""))</f>
        <v/>
      </c>
      <c r="P26" s="54" t="str">
        <f>IF(N26="","",IFERROR(N26/VLOOKUP("USD",Setup!$A$38:$E$52,5,FALSE),""))</f>
        <v/>
      </c>
      <c r="Q26" s="54" t="str">
        <f>IF(OR(J26="",K26=""),"",IFERROR(J26*VLOOKUP(K26,Setup!$A$38:$E$52,5,FALSE),""))</f>
        <v/>
      </c>
      <c r="R26" s="54" t="str">
        <f>IF(Q26="","",IFERROR(Q26/VLOOKUP("EUR",Setup!$A$38:$E$52,5,FALSE),""))</f>
        <v/>
      </c>
      <c r="S26" s="54" t="str">
        <f>IF(Q26="","",IFERROR(Q26/VLOOKUP("USD",Setup!$A$38:$E$52,5,FALSE),""))</f>
        <v/>
      </c>
    </row>
    <row r="27" ht="24.0" customHeight="1">
      <c r="A27" s="78"/>
      <c r="B27" s="78"/>
      <c r="C27" s="97" t="str">
        <f t="array" ref="C27">IF(B27="","",IFERROR(INDEX(Applications!$C$6:$C$205,MATCH(B27,Applications!$A$6:$A$205,0)),""))</f>
        <v/>
      </c>
      <c r="D27" s="99"/>
      <c r="E27" s="99"/>
      <c r="F27" s="104"/>
      <c r="G27" s="99"/>
      <c r="H27" s="78"/>
      <c r="I27" s="65"/>
      <c r="J27" s="104"/>
      <c r="K27" s="99"/>
      <c r="L27" s="110" t="b">
        <v>0</v>
      </c>
      <c r="M27" s="78"/>
      <c r="N27" s="54" t="str">
        <f>IF(OR(F27="",G27=""),"",IFERROR(F27*VLOOKUP(G27,Setup!$A$38:$E$52,5,FALSE),""))</f>
        <v/>
      </c>
      <c r="O27" s="54" t="str">
        <f>IF(N27="","",IFERROR(N27/VLOOKUP("EUR",Setup!$A$38:$E$52,5,FALSE),""))</f>
        <v/>
      </c>
      <c r="P27" s="54" t="str">
        <f>IF(N27="","",IFERROR(N27/VLOOKUP("USD",Setup!$A$38:$E$52,5,FALSE),""))</f>
        <v/>
      </c>
      <c r="Q27" s="54" t="str">
        <f>IF(OR(J27="",K27=""),"",IFERROR(J27*VLOOKUP(K27,Setup!$A$38:$E$52,5,FALSE),""))</f>
        <v/>
      </c>
      <c r="R27" s="54" t="str">
        <f>IF(Q27="","",IFERROR(Q27/VLOOKUP("EUR",Setup!$A$38:$E$52,5,FALSE),""))</f>
        <v/>
      </c>
      <c r="S27" s="54" t="str">
        <f>IF(Q27="","",IFERROR(Q27/VLOOKUP("USD",Setup!$A$38:$E$52,5,FALSE),""))</f>
        <v/>
      </c>
    </row>
    <row r="28" ht="24.0" customHeight="1">
      <c r="A28" s="78"/>
      <c r="B28" s="78"/>
      <c r="C28" s="97" t="str">
        <f t="array" ref="C28">IF(B28="","",IFERROR(INDEX(Applications!$C$6:$C$205,MATCH(B28,Applications!$A$6:$A$205,0)),""))</f>
        <v/>
      </c>
      <c r="D28" s="99"/>
      <c r="E28" s="99"/>
      <c r="F28" s="104"/>
      <c r="G28" s="99"/>
      <c r="H28" s="78"/>
      <c r="I28" s="65"/>
      <c r="J28" s="104"/>
      <c r="K28" s="99"/>
      <c r="L28" s="110" t="b">
        <v>0</v>
      </c>
      <c r="M28" s="78"/>
      <c r="N28" s="54" t="str">
        <f>IF(OR(F28="",G28=""),"",IFERROR(F28*VLOOKUP(G28,Setup!$A$38:$E$52,5,FALSE),""))</f>
        <v/>
      </c>
      <c r="O28" s="54" t="str">
        <f>IF(N28="","",IFERROR(N28/VLOOKUP("EUR",Setup!$A$38:$E$52,5,FALSE),""))</f>
        <v/>
      </c>
      <c r="P28" s="54" t="str">
        <f>IF(N28="","",IFERROR(N28/VLOOKUP("USD",Setup!$A$38:$E$52,5,FALSE),""))</f>
        <v/>
      </c>
      <c r="Q28" s="54" t="str">
        <f>IF(OR(J28="",K28=""),"",IFERROR(J28*VLOOKUP(K28,Setup!$A$38:$E$52,5,FALSE),""))</f>
        <v/>
      </c>
      <c r="R28" s="54" t="str">
        <f>IF(Q28="","",IFERROR(Q28/VLOOKUP("EUR",Setup!$A$38:$E$52,5,FALSE),""))</f>
        <v/>
      </c>
      <c r="S28" s="54" t="str">
        <f>IF(Q28="","",IFERROR(Q28/VLOOKUP("USD",Setup!$A$38:$E$52,5,FALSE),""))</f>
        <v/>
      </c>
    </row>
    <row r="29" ht="24.0" customHeight="1">
      <c r="A29" s="78"/>
      <c r="B29" s="78"/>
      <c r="C29" s="97" t="str">
        <f t="array" ref="C29">IF(B29="","",IFERROR(INDEX(Applications!$C$6:$C$205,MATCH(B29,Applications!$A$6:$A$205,0)),""))</f>
        <v/>
      </c>
      <c r="D29" s="99"/>
      <c r="E29" s="99"/>
      <c r="F29" s="104"/>
      <c r="G29" s="99"/>
      <c r="H29" s="78"/>
      <c r="I29" s="65"/>
      <c r="J29" s="104"/>
      <c r="K29" s="99"/>
      <c r="L29" s="110" t="b">
        <v>0</v>
      </c>
      <c r="M29" s="78"/>
      <c r="N29" s="54" t="str">
        <f>IF(OR(F29="",G29=""),"",IFERROR(F29*VLOOKUP(G29,Setup!$A$38:$E$52,5,FALSE),""))</f>
        <v/>
      </c>
      <c r="O29" s="54" t="str">
        <f>IF(N29="","",IFERROR(N29/VLOOKUP("EUR",Setup!$A$38:$E$52,5,FALSE),""))</f>
        <v/>
      </c>
      <c r="P29" s="54" t="str">
        <f>IF(N29="","",IFERROR(N29/VLOOKUP("USD",Setup!$A$38:$E$52,5,FALSE),""))</f>
        <v/>
      </c>
      <c r="Q29" s="54" t="str">
        <f>IF(OR(J29="",K29=""),"",IFERROR(J29*VLOOKUP(K29,Setup!$A$38:$E$52,5,FALSE),""))</f>
        <v/>
      </c>
      <c r="R29" s="54" t="str">
        <f>IF(Q29="","",IFERROR(Q29/VLOOKUP("EUR",Setup!$A$38:$E$52,5,FALSE),""))</f>
        <v/>
      </c>
      <c r="S29" s="54" t="str">
        <f>IF(Q29="","",IFERROR(Q29/VLOOKUP("USD",Setup!$A$38:$E$52,5,FALSE),""))</f>
        <v/>
      </c>
    </row>
    <row r="30" ht="24.0" customHeight="1">
      <c r="A30" s="78"/>
      <c r="B30" s="78"/>
      <c r="C30" s="97" t="str">
        <f t="array" ref="C30">IF(B30="","",IFERROR(INDEX(Applications!$C$6:$C$205,MATCH(B30,Applications!$A$6:$A$205,0)),""))</f>
        <v/>
      </c>
      <c r="D30" s="99"/>
      <c r="E30" s="99"/>
      <c r="F30" s="104"/>
      <c r="G30" s="99"/>
      <c r="H30" s="78"/>
      <c r="I30" s="65"/>
      <c r="J30" s="104"/>
      <c r="K30" s="99"/>
      <c r="L30" s="110" t="b">
        <v>0</v>
      </c>
      <c r="M30" s="78"/>
      <c r="N30" s="54" t="str">
        <f>IF(OR(F30="",G30=""),"",IFERROR(F30*VLOOKUP(G30,Setup!$A$38:$E$52,5,FALSE),""))</f>
        <v/>
      </c>
      <c r="O30" s="54" t="str">
        <f>IF(N30="","",IFERROR(N30/VLOOKUP("EUR",Setup!$A$38:$E$52,5,FALSE),""))</f>
        <v/>
      </c>
      <c r="P30" s="54" t="str">
        <f>IF(N30="","",IFERROR(N30/VLOOKUP("USD",Setup!$A$38:$E$52,5,FALSE),""))</f>
        <v/>
      </c>
      <c r="Q30" s="54" t="str">
        <f>IF(OR(J30="",K30=""),"",IFERROR(J30*VLOOKUP(K30,Setup!$A$38:$E$52,5,FALSE),""))</f>
        <v/>
      </c>
      <c r="R30" s="54" t="str">
        <f>IF(Q30="","",IFERROR(Q30/VLOOKUP("EUR",Setup!$A$38:$E$52,5,FALSE),""))</f>
        <v/>
      </c>
      <c r="S30" s="54" t="str">
        <f>IF(Q30="","",IFERROR(Q30/VLOOKUP("USD",Setup!$A$38:$E$52,5,FALSE),""))</f>
        <v/>
      </c>
    </row>
    <row r="31" ht="24.0" customHeight="1">
      <c r="A31" s="78"/>
      <c r="B31" s="78"/>
      <c r="C31" s="97" t="str">
        <f t="array" ref="C31">IF(B31="","",IFERROR(INDEX(Applications!$C$6:$C$205,MATCH(B31,Applications!$A$6:$A$205,0)),""))</f>
        <v/>
      </c>
      <c r="D31" s="99"/>
      <c r="E31" s="99"/>
      <c r="F31" s="104"/>
      <c r="G31" s="99"/>
      <c r="H31" s="78"/>
      <c r="I31" s="65"/>
      <c r="J31" s="104"/>
      <c r="K31" s="99"/>
      <c r="L31" s="110" t="b">
        <v>0</v>
      </c>
      <c r="M31" s="78"/>
      <c r="N31" s="54" t="str">
        <f>IF(OR(F31="",G31=""),"",IFERROR(F31*VLOOKUP(G31,Setup!$A$38:$E$52,5,FALSE),""))</f>
        <v/>
      </c>
      <c r="O31" s="54" t="str">
        <f>IF(N31="","",IFERROR(N31/VLOOKUP("EUR",Setup!$A$38:$E$52,5,FALSE),""))</f>
        <v/>
      </c>
      <c r="P31" s="54" t="str">
        <f>IF(N31="","",IFERROR(N31/VLOOKUP("USD",Setup!$A$38:$E$52,5,FALSE),""))</f>
        <v/>
      </c>
      <c r="Q31" s="54" t="str">
        <f>IF(OR(J31="",K31=""),"",IFERROR(J31*VLOOKUP(K31,Setup!$A$38:$E$52,5,FALSE),""))</f>
        <v/>
      </c>
      <c r="R31" s="54" t="str">
        <f>IF(Q31="","",IFERROR(Q31/VLOOKUP("EUR",Setup!$A$38:$E$52,5,FALSE),""))</f>
        <v/>
      </c>
      <c r="S31" s="54" t="str">
        <f>IF(Q31="","",IFERROR(Q31/VLOOKUP("USD",Setup!$A$38:$E$52,5,FALSE),""))</f>
        <v/>
      </c>
    </row>
    <row r="32" ht="24.0" customHeight="1">
      <c r="A32" s="78"/>
      <c r="B32" s="78"/>
      <c r="C32" s="97" t="str">
        <f t="array" ref="C32">IF(B32="","",IFERROR(INDEX(Applications!$C$6:$C$205,MATCH(B32,Applications!$A$6:$A$205,0)),""))</f>
        <v/>
      </c>
      <c r="D32" s="99"/>
      <c r="E32" s="99"/>
      <c r="F32" s="104"/>
      <c r="G32" s="99"/>
      <c r="H32" s="78"/>
      <c r="I32" s="65"/>
      <c r="J32" s="104"/>
      <c r="K32" s="99"/>
      <c r="L32" s="110" t="b">
        <v>0</v>
      </c>
      <c r="M32" s="78"/>
      <c r="N32" s="54" t="str">
        <f>IF(OR(F32="",G32=""),"",IFERROR(F32*VLOOKUP(G32,Setup!$A$38:$E$52,5,FALSE),""))</f>
        <v/>
      </c>
      <c r="O32" s="54" t="str">
        <f>IF(N32="","",IFERROR(N32/VLOOKUP("EUR",Setup!$A$38:$E$52,5,FALSE),""))</f>
        <v/>
      </c>
      <c r="P32" s="54" t="str">
        <f>IF(N32="","",IFERROR(N32/VLOOKUP("USD",Setup!$A$38:$E$52,5,FALSE),""))</f>
        <v/>
      </c>
      <c r="Q32" s="54" t="str">
        <f>IF(OR(J32="",K32=""),"",IFERROR(J32*VLOOKUP(K32,Setup!$A$38:$E$52,5,FALSE),""))</f>
        <v/>
      </c>
      <c r="R32" s="54" t="str">
        <f>IF(Q32="","",IFERROR(Q32/VLOOKUP("EUR",Setup!$A$38:$E$52,5,FALSE),""))</f>
        <v/>
      </c>
      <c r="S32" s="54" t="str">
        <f>IF(Q32="","",IFERROR(Q32/VLOOKUP("USD",Setup!$A$38:$E$52,5,FALSE),""))</f>
        <v/>
      </c>
    </row>
    <row r="33" ht="24.0" customHeight="1">
      <c r="A33" s="78"/>
      <c r="B33" s="78"/>
      <c r="C33" s="97" t="str">
        <f t="array" ref="C33">IF(B33="","",IFERROR(INDEX(Applications!$C$6:$C$205,MATCH(B33,Applications!$A$6:$A$205,0)),""))</f>
        <v/>
      </c>
      <c r="D33" s="99"/>
      <c r="E33" s="99"/>
      <c r="F33" s="104"/>
      <c r="G33" s="99"/>
      <c r="H33" s="78"/>
      <c r="I33" s="65"/>
      <c r="J33" s="104"/>
      <c r="K33" s="99"/>
      <c r="L33" s="110" t="b">
        <v>0</v>
      </c>
      <c r="M33" s="78"/>
      <c r="N33" s="54" t="str">
        <f>IF(OR(F33="",G33=""),"",IFERROR(F33*VLOOKUP(G33,Setup!$A$38:$E$52,5,FALSE),""))</f>
        <v/>
      </c>
      <c r="O33" s="54" t="str">
        <f>IF(N33="","",IFERROR(N33/VLOOKUP("EUR",Setup!$A$38:$E$52,5,FALSE),""))</f>
        <v/>
      </c>
      <c r="P33" s="54" t="str">
        <f>IF(N33="","",IFERROR(N33/VLOOKUP("USD",Setup!$A$38:$E$52,5,FALSE),""))</f>
        <v/>
      </c>
      <c r="Q33" s="54" t="str">
        <f>IF(OR(J33="",K33=""),"",IFERROR(J33*VLOOKUP(K33,Setup!$A$38:$E$52,5,FALSE),""))</f>
        <v/>
      </c>
      <c r="R33" s="54" t="str">
        <f>IF(Q33="","",IFERROR(Q33/VLOOKUP("EUR",Setup!$A$38:$E$52,5,FALSE),""))</f>
        <v/>
      </c>
      <c r="S33" s="54" t="str">
        <f>IF(Q33="","",IFERROR(Q33/VLOOKUP("USD",Setup!$A$38:$E$52,5,FALSE),""))</f>
        <v/>
      </c>
    </row>
    <row r="34" ht="24.0" customHeight="1">
      <c r="A34" s="78"/>
      <c r="B34" s="78"/>
      <c r="C34" s="97" t="str">
        <f t="array" ref="C34">IF(B34="","",IFERROR(INDEX(Applications!$C$6:$C$205,MATCH(B34,Applications!$A$6:$A$205,0)),""))</f>
        <v/>
      </c>
      <c r="D34" s="99"/>
      <c r="E34" s="99"/>
      <c r="F34" s="104"/>
      <c r="G34" s="99"/>
      <c r="H34" s="78"/>
      <c r="I34" s="65"/>
      <c r="J34" s="104"/>
      <c r="K34" s="99"/>
      <c r="L34" s="110" t="b">
        <v>0</v>
      </c>
      <c r="M34" s="78"/>
      <c r="N34" s="54" t="str">
        <f>IF(OR(F34="",G34=""),"",IFERROR(F34*VLOOKUP(G34,Setup!$A$38:$E$52,5,FALSE),""))</f>
        <v/>
      </c>
      <c r="O34" s="54" t="str">
        <f>IF(N34="","",IFERROR(N34/VLOOKUP("EUR",Setup!$A$38:$E$52,5,FALSE),""))</f>
        <v/>
      </c>
      <c r="P34" s="54" t="str">
        <f>IF(N34="","",IFERROR(N34/VLOOKUP("USD",Setup!$A$38:$E$52,5,FALSE),""))</f>
        <v/>
      </c>
      <c r="Q34" s="54" t="str">
        <f>IF(OR(J34="",K34=""),"",IFERROR(J34*VLOOKUP(K34,Setup!$A$38:$E$52,5,FALSE),""))</f>
        <v/>
      </c>
      <c r="R34" s="54" t="str">
        <f>IF(Q34="","",IFERROR(Q34/VLOOKUP("EUR",Setup!$A$38:$E$52,5,FALSE),""))</f>
        <v/>
      </c>
      <c r="S34" s="54" t="str">
        <f>IF(Q34="","",IFERROR(Q34/VLOOKUP("USD",Setup!$A$38:$E$52,5,FALSE),""))</f>
        <v/>
      </c>
    </row>
    <row r="35" ht="24.0" customHeight="1">
      <c r="A35" s="78"/>
      <c r="B35" s="78"/>
      <c r="C35" s="97" t="str">
        <f t="array" ref="C35">IF(B35="","",IFERROR(INDEX(Applications!$C$6:$C$205,MATCH(B35,Applications!$A$6:$A$205,0)),""))</f>
        <v/>
      </c>
      <c r="D35" s="99"/>
      <c r="E35" s="99"/>
      <c r="F35" s="104"/>
      <c r="G35" s="99"/>
      <c r="H35" s="78"/>
      <c r="I35" s="65"/>
      <c r="J35" s="104"/>
      <c r="K35" s="99"/>
      <c r="L35" s="110" t="b">
        <v>0</v>
      </c>
      <c r="M35" s="78"/>
      <c r="N35" s="54" t="str">
        <f>IF(OR(F35="",G35=""),"",IFERROR(F35*VLOOKUP(G35,Setup!$A$38:$E$52,5,FALSE),""))</f>
        <v/>
      </c>
      <c r="O35" s="54" t="str">
        <f>IF(N35="","",IFERROR(N35/VLOOKUP("EUR",Setup!$A$38:$E$52,5,FALSE),""))</f>
        <v/>
      </c>
      <c r="P35" s="54" t="str">
        <f>IF(N35="","",IFERROR(N35/VLOOKUP("USD",Setup!$A$38:$E$52,5,FALSE),""))</f>
        <v/>
      </c>
      <c r="Q35" s="54" t="str">
        <f>IF(OR(J35="",K35=""),"",IFERROR(J35*VLOOKUP(K35,Setup!$A$38:$E$52,5,FALSE),""))</f>
        <v/>
      </c>
      <c r="R35" s="54" t="str">
        <f>IF(Q35="","",IFERROR(Q35/VLOOKUP("EUR",Setup!$A$38:$E$52,5,FALSE),""))</f>
        <v/>
      </c>
      <c r="S35" s="54" t="str">
        <f>IF(Q35="","",IFERROR(Q35/VLOOKUP("USD",Setup!$A$38:$E$52,5,FALSE),""))</f>
        <v/>
      </c>
    </row>
    <row r="36" ht="24.0" customHeight="1">
      <c r="A36" s="78"/>
      <c r="B36" s="78"/>
      <c r="C36" s="97" t="str">
        <f t="array" ref="C36">IF(B36="","",IFERROR(INDEX(Applications!$C$6:$C$205,MATCH(B36,Applications!$A$6:$A$205,0)),""))</f>
        <v/>
      </c>
      <c r="D36" s="99"/>
      <c r="E36" s="99"/>
      <c r="F36" s="104"/>
      <c r="G36" s="99"/>
      <c r="H36" s="78"/>
      <c r="I36" s="65"/>
      <c r="J36" s="104"/>
      <c r="K36" s="99"/>
      <c r="L36" s="110" t="b">
        <v>0</v>
      </c>
      <c r="M36" s="78"/>
      <c r="N36" s="54" t="str">
        <f>IF(OR(F36="",G36=""),"",IFERROR(F36*VLOOKUP(G36,Setup!$A$38:$E$52,5,FALSE),""))</f>
        <v/>
      </c>
      <c r="O36" s="54" t="str">
        <f>IF(N36="","",IFERROR(N36/VLOOKUP("EUR",Setup!$A$38:$E$52,5,FALSE),""))</f>
        <v/>
      </c>
      <c r="P36" s="54" t="str">
        <f>IF(N36="","",IFERROR(N36/VLOOKUP("USD",Setup!$A$38:$E$52,5,FALSE),""))</f>
        <v/>
      </c>
      <c r="Q36" s="54" t="str">
        <f>IF(OR(J36="",K36=""),"",IFERROR(J36*VLOOKUP(K36,Setup!$A$38:$E$52,5,FALSE),""))</f>
        <v/>
      </c>
      <c r="R36" s="54" t="str">
        <f>IF(Q36="","",IFERROR(Q36/VLOOKUP("EUR",Setup!$A$38:$E$52,5,FALSE),""))</f>
        <v/>
      </c>
      <c r="S36" s="54" t="str">
        <f>IF(Q36="","",IFERROR(Q36/VLOOKUP("USD",Setup!$A$38:$E$52,5,FALSE),""))</f>
        <v/>
      </c>
    </row>
    <row r="37" ht="24.0" customHeight="1">
      <c r="A37" s="78"/>
      <c r="B37" s="78"/>
      <c r="C37" s="97" t="str">
        <f t="array" ref="C37">IF(B37="","",IFERROR(INDEX(Applications!$C$6:$C$205,MATCH(B37,Applications!$A$6:$A$205,0)),""))</f>
        <v/>
      </c>
      <c r="D37" s="99"/>
      <c r="E37" s="99"/>
      <c r="F37" s="104"/>
      <c r="G37" s="99"/>
      <c r="H37" s="78"/>
      <c r="I37" s="65"/>
      <c r="J37" s="104"/>
      <c r="K37" s="99"/>
      <c r="L37" s="110" t="b">
        <v>0</v>
      </c>
      <c r="M37" s="78"/>
      <c r="N37" s="54" t="str">
        <f>IF(OR(F37="",G37=""),"",IFERROR(F37*VLOOKUP(G37,Setup!$A$38:$E$52,5,FALSE),""))</f>
        <v/>
      </c>
      <c r="O37" s="54" t="str">
        <f>IF(N37="","",IFERROR(N37/VLOOKUP("EUR",Setup!$A$38:$E$52,5,FALSE),""))</f>
        <v/>
      </c>
      <c r="P37" s="54" t="str">
        <f>IF(N37="","",IFERROR(N37/VLOOKUP("USD",Setup!$A$38:$E$52,5,FALSE),""))</f>
        <v/>
      </c>
      <c r="Q37" s="54" t="str">
        <f>IF(OR(J37="",K37=""),"",IFERROR(J37*VLOOKUP(K37,Setup!$A$38:$E$52,5,FALSE),""))</f>
        <v/>
      </c>
      <c r="R37" s="54" t="str">
        <f>IF(Q37="","",IFERROR(Q37/VLOOKUP("EUR",Setup!$A$38:$E$52,5,FALSE),""))</f>
        <v/>
      </c>
      <c r="S37" s="54" t="str">
        <f>IF(Q37="","",IFERROR(Q37/VLOOKUP("USD",Setup!$A$38:$E$52,5,FALSE),""))</f>
        <v/>
      </c>
    </row>
    <row r="38" ht="24.0" customHeight="1">
      <c r="A38" s="78"/>
      <c r="B38" s="78"/>
      <c r="C38" s="97" t="str">
        <f t="array" ref="C38">IF(B38="","",IFERROR(INDEX(Applications!$C$6:$C$205,MATCH(B38,Applications!$A$6:$A$205,0)),""))</f>
        <v/>
      </c>
      <c r="D38" s="99"/>
      <c r="E38" s="99"/>
      <c r="F38" s="104"/>
      <c r="G38" s="99"/>
      <c r="H38" s="78"/>
      <c r="I38" s="65"/>
      <c r="J38" s="104"/>
      <c r="K38" s="99"/>
      <c r="L38" s="110" t="b">
        <v>0</v>
      </c>
      <c r="M38" s="78"/>
      <c r="N38" s="54" t="str">
        <f>IF(OR(F38="",G38=""),"",IFERROR(F38*VLOOKUP(G38,Setup!$A$38:$E$52,5,FALSE),""))</f>
        <v/>
      </c>
      <c r="O38" s="54" t="str">
        <f>IF(N38="","",IFERROR(N38/VLOOKUP("EUR",Setup!$A$38:$E$52,5,FALSE),""))</f>
        <v/>
      </c>
      <c r="P38" s="54" t="str">
        <f>IF(N38="","",IFERROR(N38/VLOOKUP("USD",Setup!$A$38:$E$52,5,FALSE),""))</f>
        <v/>
      </c>
      <c r="Q38" s="54" t="str">
        <f>IF(OR(J38="",K38=""),"",IFERROR(J38*VLOOKUP(K38,Setup!$A$38:$E$52,5,FALSE),""))</f>
        <v/>
      </c>
      <c r="R38" s="54" t="str">
        <f>IF(Q38="","",IFERROR(Q38/VLOOKUP("EUR",Setup!$A$38:$E$52,5,FALSE),""))</f>
        <v/>
      </c>
      <c r="S38" s="54" t="str">
        <f>IF(Q38="","",IFERROR(Q38/VLOOKUP("USD",Setup!$A$38:$E$52,5,FALSE),""))</f>
        <v/>
      </c>
    </row>
    <row r="39" ht="24.0" customHeight="1">
      <c r="A39" s="78"/>
      <c r="B39" s="78"/>
      <c r="C39" s="97" t="str">
        <f t="array" ref="C39">IF(B39="","",IFERROR(INDEX(Applications!$C$6:$C$205,MATCH(B39,Applications!$A$6:$A$205,0)),""))</f>
        <v/>
      </c>
      <c r="D39" s="99"/>
      <c r="E39" s="99"/>
      <c r="F39" s="104"/>
      <c r="G39" s="99"/>
      <c r="H39" s="78"/>
      <c r="I39" s="65"/>
      <c r="J39" s="104"/>
      <c r="K39" s="99"/>
      <c r="L39" s="110" t="b">
        <v>0</v>
      </c>
      <c r="M39" s="78"/>
      <c r="N39" s="54" t="str">
        <f>IF(OR(F39="",G39=""),"",IFERROR(F39*VLOOKUP(G39,Setup!$A$38:$E$52,5,FALSE),""))</f>
        <v/>
      </c>
      <c r="O39" s="54" t="str">
        <f>IF(N39="","",IFERROR(N39/VLOOKUP("EUR",Setup!$A$38:$E$52,5,FALSE),""))</f>
        <v/>
      </c>
      <c r="P39" s="54" t="str">
        <f>IF(N39="","",IFERROR(N39/VLOOKUP("USD",Setup!$A$38:$E$52,5,FALSE),""))</f>
        <v/>
      </c>
      <c r="Q39" s="54" t="str">
        <f>IF(OR(J39="",K39=""),"",IFERROR(J39*VLOOKUP(K39,Setup!$A$38:$E$52,5,FALSE),""))</f>
        <v/>
      </c>
      <c r="R39" s="54" t="str">
        <f>IF(Q39="","",IFERROR(Q39/VLOOKUP("EUR",Setup!$A$38:$E$52,5,FALSE),""))</f>
        <v/>
      </c>
      <c r="S39" s="54" t="str">
        <f>IF(Q39="","",IFERROR(Q39/VLOOKUP("USD",Setup!$A$38:$E$52,5,FALSE),""))</f>
        <v/>
      </c>
    </row>
    <row r="40" ht="24.0" customHeight="1">
      <c r="A40" s="78"/>
      <c r="B40" s="78"/>
      <c r="C40" s="97" t="str">
        <f t="array" ref="C40">IF(B40="","",IFERROR(INDEX(Applications!$C$6:$C$205,MATCH(B40,Applications!$A$6:$A$205,0)),""))</f>
        <v/>
      </c>
      <c r="D40" s="99"/>
      <c r="E40" s="99"/>
      <c r="F40" s="104"/>
      <c r="G40" s="99"/>
      <c r="H40" s="78"/>
      <c r="I40" s="65"/>
      <c r="J40" s="104"/>
      <c r="K40" s="99"/>
      <c r="L40" s="110" t="b">
        <v>0</v>
      </c>
      <c r="M40" s="78"/>
      <c r="N40" s="54" t="str">
        <f>IF(OR(F40="",G40=""),"",IFERROR(F40*VLOOKUP(G40,Setup!$A$38:$E$52,5,FALSE),""))</f>
        <v/>
      </c>
      <c r="O40" s="54" t="str">
        <f>IF(N40="","",IFERROR(N40/VLOOKUP("EUR",Setup!$A$38:$E$52,5,FALSE),""))</f>
        <v/>
      </c>
      <c r="P40" s="54" t="str">
        <f>IF(N40="","",IFERROR(N40/VLOOKUP("USD",Setup!$A$38:$E$52,5,FALSE),""))</f>
        <v/>
      </c>
      <c r="Q40" s="54" t="str">
        <f>IF(OR(J40="",K40=""),"",IFERROR(J40*VLOOKUP(K40,Setup!$A$38:$E$52,5,FALSE),""))</f>
        <v/>
      </c>
      <c r="R40" s="54" t="str">
        <f>IF(Q40="","",IFERROR(Q40/VLOOKUP("EUR",Setup!$A$38:$E$52,5,FALSE),""))</f>
        <v/>
      </c>
      <c r="S40" s="54" t="str">
        <f>IF(Q40="","",IFERROR(Q40/VLOOKUP("USD",Setup!$A$38:$E$52,5,FALSE),""))</f>
        <v/>
      </c>
    </row>
    <row r="41" ht="24.0" customHeight="1">
      <c r="A41" s="78"/>
      <c r="B41" s="78"/>
      <c r="C41" s="97" t="str">
        <f t="array" ref="C41">IF(B41="","",IFERROR(INDEX(Applications!$C$6:$C$205,MATCH(B41,Applications!$A$6:$A$205,0)),""))</f>
        <v/>
      </c>
      <c r="D41" s="99"/>
      <c r="E41" s="99"/>
      <c r="F41" s="104"/>
      <c r="G41" s="99"/>
      <c r="H41" s="78"/>
      <c r="I41" s="65"/>
      <c r="J41" s="104"/>
      <c r="K41" s="99"/>
      <c r="L41" s="110" t="b">
        <v>0</v>
      </c>
      <c r="M41" s="78"/>
      <c r="N41" s="54" t="str">
        <f>IF(OR(F41="",G41=""),"",IFERROR(F41*VLOOKUP(G41,Setup!$A$38:$E$52,5,FALSE),""))</f>
        <v/>
      </c>
      <c r="O41" s="54" t="str">
        <f>IF(N41="","",IFERROR(N41/VLOOKUP("EUR",Setup!$A$38:$E$52,5,FALSE),""))</f>
        <v/>
      </c>
      <c r="P41" s="54" t="str">
        <f>IF(N41="","",IFERROR(N41/VLOOKUP("USD",Setup!$A$38:$E$52,5,FALSE),""))</f>
        <v/>
      </c>
      <c r="Q41" s="54" t="str">
        <f>IF(OR(J41="",K41=""),"",IFERROR(J41*VLOOKUP(K41,Setup!$A$38:$E$52,5,FALSE),""))</f>
        <v/>
      </c>
      <c r="R41" s="54" t="str">
        <f>IF(Q41="","",IFERROR(Q41/VLOOKUP("EUR",Setup!$A$38:$E$52,5,FALSE),""))</f>
        <v/>
      </c>
      <c r="S41" s="54" t="str">
        <f>IF(Q41="","",IFERROR(Q41/VLOOKUP("USD",Setup!$A$38:$E$52,5,FALSE),""))</f>
        <v/>
      </c>
    </row>
    <row r="42" ht="24.0" customHeight="1">
      <c r="A42" s="78"/>
      <c r="B42" s="78"/>
      <c r="C42" s="97" t="str">
        <f t="array" ref="C42">IF(B42="","",IFERROR(INDEX(Applications!$C$6:$C$205,MATCH(B42,Applications!$A$6:$A$205,0)),""))</f>
        <v/>
      </c>
      <c r="D42" s="99"/>
      <c r="E42" s="99"/>
      <c r="F42" s="104"/>
      <c r="G42" s="99"/>
      <c r="H42" s="78"/>
      <c r="I42" s="65"/>
      <c r="J42" s="104"/>
      <c r="K42" s="99"/>
      <c r="L42" s="110" t="b">
        <v>0</v>
      </c>
      <c r="M42" s="78"/>
      <c r="N42" s="54" t="str">
        <f>IF(OR(F42="",G42=""),"",IFERROR(F42*VLOOKUP(G42,Setup!$A$38:$E$52,5,FALSE),""))</f>
        <v/>
      </c>
      <c r="O42" s="54" t="str">
        <f>IF(N42="","",IFERROR(N42/VLOOKUP("EUR",Setup!$A$38:$E$52,5,FALSE),""))</f>
        <v/>
      </c>
      <c r="P42" s="54" t="str">
        <f>IF(N42="","",IFERROR(N42/VLOOKUP("USD",Setup!$A$38:$E$52,5,FALSE),""))</f>
        <v/>
      </c>
      <c r="Q42" s="54" t="str">
        <f>IF(OR(J42="",K42=""),"",IFERROR(J42*VLOOKUP(K42,Setup!$A$38:$E$52,5,FALSE),""))</f>
        <v/>
      </c>
      <c r="R42" s="54" t="str">
        <f>IF(Q42="","",IFERROR(Q42/VLOOKUP("EUR",Setup!$A$38:$E$52,5,FALSE),""))</f>
        <v/>
      </c>
      <c r="S42" s="54" t="str">
        <f>IF(Q42="","",IFERROR(Q42/VLOOKUP("USD",Setup!$A$38:$E$52,5,FALSE),""))</f>
        <v/>
      </c>
    </row>
    <row r="43" ht="24.0" customHeight="1">
      <c r="A43" s="78"/>
      <c r="B43" s="78"/>
      <c r="C43" s="97" t="str">
        <f t="array" ref="C43">IF(B43="","",IFERROR(INDEX(Applications!$C$6:$C$205,MATCH(B43,Applications!$A$6:$A$205,0)),""))</f>
        <v/>
      </c>
      <c r="D43" s="99"/>
      <c r="E43" s="99"/>
      <c r="F43" s="104"/>
      <c r="G43" s="99"/>
      <c r="H43" s="78"/>
      <c r="I43" s="65"/>
      <c r="J43" s="104"/>
      <c r="K43" s="99"/>
      <c r="L43" s="110" t="b">
        <v>0</v>
      </c>
      <c r="M43" s="78"/>
      <c r="N43" s="54" t="str">
        <f>IF(OR(F43="",G43=""),"",IFERROR(F43*VLOOKUP(G43,Setup!$A$38:$E$52,5,FALSE),""))</f>
        <v/>
      </c>
      <c r="O43" s="54" t="str">
        <f>IF(N43="","",IFERROR(N43/VLOOKUP("EUR",Setup!$A$38:$E$52,5,FALSE),""))</f>
        <v/>
      </c>
      <c r="P43" s="54" t="str">
        <f>IF(N43="","",IFERROR(N43/VLOOKUP("USD",Setup!$A$38:$E$52,5,FALSE),""))</f>
        <v/>
      </c>
      <c r="Q43" s="54" t="str">
        <f>IF(OR(J43="",K43=""),"",IFERROR(J43*VLOOKUP(K43,Setup!$A$38:$E$52,5,FALSE),""))</f>
        <v/>
      </c>
      <c r="R43" s="54" t="str">
        <f>IF(Q43="","",IFERROR(Q43/VLOOKUP("EUR",Setup!$A$38:$E$52,5,FALSE),""))</f>
        <v/>
      </c>
      <c r="S43" s="54" t="str">
        <f>IF(Q43="","",IFERROR(Q43/VLOOKUP("USD",Setup!$A$38:$E$52,5,FALSE),""))</f>
        <v/>
      </c>
    </row>
    <row r="44" ht="24.0" customHeight="1">
      <c r="A44" s="78"/>
      <c r="B44" s="78"/>
      <c r="C44" s="97" t="str">
        <f t="array" ref="C44">IF(B44="","",IFERROR(INDEX(Applications!$C$6:$C$205,MATCH(B44,Applications!$A$6:$A$205,0)),""))</f>
        <v/>
      </c>
      <c r="D44" s="99"/>
      <c r="E44" s="99"/>
      <c r="F44" s="104"/>
      <c r="G44" s="99"/>
      <c r="H44" s="78"/>
      <c r="I44" s="65"/>
      <c r="J44" s="104"/>
      <c r="K44" s="99"/>
      <c r="L44" s="110" t="b">
        <v>0</v>
      </c>
      <c r="M44" s="78"/>
      <c r="N44" s="54" t="str">
        <f>IF(OR(F44="",G44=""),"",IFERROR(F44*VLOOKUP(G44,Setup!$A$38:$E$52,5,FALSE),""))</f>
        <v/>
      </c>
      <c r="O44" s="54" t="str">
        <f>IF(N44="","",IFERROR(N44/VLOOKUP("EUR",Setup!$A$38:$E$52,5,FALSE),""))</f>
        <v/>
      </c>
      <c r="P44" s="54" t="str">
        <f>IF(N44="","",IFERROR(N44/VLOOKUP("USD",Setup!$A$38:$E$52,5,FALSE),""))</f>
        <v/>
      </c>
      <c r="Q44" s="54" t="str">
        <f>IF(OR(J44="",K44=""),"",IFERROR(J44*VLOOKUP(K44,Setup!$A$38:$E$52,5,FALSE),""))</f>
        <v/>
      </c>
      <c r="R44" s="54" t="str">
        <f>IF(Q44="","",IFERROR(Q44/VLOOKUP("EUR",Setup!$A$38:$E$52,5,FALSE),""))</f>
        <v/>
      </c>
      <c r="S44" s="54" t="str">
        <f>IF(Q44="","",IFERROR(Q44/VLOOKUP("USD",Setup!$A$38:$E$52,5,FALSE),""))</f>
        <v/>
      </c>
    </row>
    <row r="45" ht="24.0" customHeight="1">
      <c r="A45" s="78"/>
      <c r="B45" s="78"/>
      <c r="C45" s="97" t="str">
        <f t="array" ref="C45">IF(B45="","",IFERROR(INDEX(Applications!$C$6:$C$205,MATCH(B45,Applications!$A$6:$A$205,0)),""))</f>
        <v/>
      </c>
      <c r="D45" s="99"/>
      <c r="E45" s="99"/>
      <c r="F45" s="104"/>
      <c r="G45" s="99"/>
      <c r="H45" s="78"/>
      <c r="I45" s="65"/>
      <c r="J45" s="104"/>
      <c r="K45" s="99"/>
      <c r="L45" s="110" t="b">
        <v>0</v>
      </c>
      <c r="M45" s="78"/>
      <c r="N45" s="54" t="str">
        <f>IF(OR(F45="",G45=""),"",IFERROR(F45*VLOOKUP(G45,Setup!$A$38:$E$52,5,FALSE),""))</f>
        <v/>
      </c>
      <c r="O45" s="54" t="str">
        <f>IF(N45="","",IFERROR(N45/VLOOKUP("EUR",Setup!$A$38:$E$52,5,FALSE),""))</f>
        <v/>
      </c>
      <c r="P45" s="54" t="str">
        <f>IF(N45="","",IFERROR(N45/VLOOKUP("USD",Setup!$A$38:$E$52,5,FALSE),""))</f>
        <v/>
      </c>
      <c r="Q45" s="54" t="str">
        <f>IF(OR(J45="",K45=""),"",IFERROR(J45*VLOOKUP(K45,Setup!$A$38:$E$52,5,FALSE),""))</f>
        <v/>
      </c>
      <c r="R45" s="54" t="str">
        <f>IF(Q45="","",IFERROR(Q45/VLOOKUP("EUR",Setup!$A$38:$E$52,5,FALSE),""))</f>
        <v/>
      </c>
      <c r="S45" s="54" t="str">
        <f>IF(Q45="","",IFERROR(Q45/VLOOKUP("USD",Setup!$A$38:$E$52,5,FALSE),""))</f>
        <v/>
      </c>
    </row>
    <row r="46" ht="24.0" customHeight="1">
      <c r="A46" s="78"/>
      <c r="B46" s="78"/>
      <c r="C46" s="97" t="str">
        <f t="array" ref="C46">IF(B46="","",IFERROR(INDEX(Applications!$C$6:$C$205,MATCH(B46,Applications!$A$6:$A$205,0)),""))</f>
        <v/>
      </c>
      <c r="D46" s="99"/>
      <c r="E46" s="99"/>
      <c r="F46" s="104"/>
      <c r="G46" s="99"/>
      <c r="H46" s="78"/>
      <c r="I46" s="65"/>
      <c r="J46" s="104"/>
      <c r="K46" s="99"/>
      <c r="L46" s="110" t="b">
        <v>0</v>
      </c>
      <c r="M46" s="78"/>
      <c r="N46" s="54" t="str">
        <f>IF(OR(F46="",G46=""),"",IFERROR(F46*VLOOKUP(G46,Setup!$A$38:$E$52,5,FALSE),""))</f>
        <v/>
      </c>
      <c r="O46" s="54" t="str">
        <f>IF(N46="","",IFERROR(N46/VLOOKUP("EUR",Setup!$A$38:$E$52,5,FALSE),""))</f>
        <v/>
      </c>
      <c r="P46" s="54" t="str">
        <f>IF(N46="","",IFERROR(N46/VLOOKUP("USD",Setup!$A$38:$E$52,5,FALSE),""))</f>
        <v/>
      </c>
      <c r="Q46" s="54" t="str">
        <f>IF(OR(J46="",K46=""),"",IFERROR(J46*VLOOKUP(K46,Setup!$A$38:$E$52,5,FALSE),""))</f>
        <v/>
      </c>
      <c r="R46" s="54" t="str">
        <f>IF(Q46="","",IFERROR(Q46/VLOOKUP("EUR",Setup!$A$38:$E$52,5,FALSE),""))</f>
        <v/>
      </c>
      <c r="S46" s="54" t="str">
        <f>IF(Q46="","",IFERROR(Q46/VLOOKUP("USD",Setup!$A$38:$E$52,5,FALSE),""))</f>
        <v/>
      </c>
    </row>
    <row r="47" ht="24.0" customHeight="1">
      <c r="A47" s="78"/>
      <c r="B47" s="78"/>
      <c r="C47" s="97" t="str">
        <f t="array" ref="C47">IF(B47="","",IFERROR(INDEX(Applications!$C$6:$C$205,MATCH(B47,Applications!$A$6:$A$205,0)),""))</f>
        <v/>
      </c>
      <c r="D47" s="99"/>
      <c r="E47" s="99"/>
      <c r="F47" s="104"/>
      <c r="G47" s="99"/>
      <c r="H47" s="78"/>
      <c r="I47" s="65"/>
      <c r="J47" s="104"/>
      <c r="K47" s="99"/>
      <c r="L47" s="110" t="b">
        <v>0</v>
      </c>
      <c r="M47" s="78"/>
      <c r="N47" s="54" t="str">
        <f>IF(OR(F47="",G47=""),"",IFERROR(F47*VLOOKUP(G47,Setup!$A$38:$E$52,5,FALSE),""))</f>
        <v/>
      </c>
      <c r="O47" s="54" t="str">
        <f>IF(N47="","",IFERROR(N47/VLOOKUP("EUR",Setup!$A$38:$E$52,5,FALSE),""))</f>
        <v/>
      </c>
      <c r="P47" s="54" t="str">
        <f>IF(N47="","",IFERROR(N47/VLOOKUP("USD",Setup!$A$38:$E$52,5,FALSE),""))</f>
        <v/>
      </c>
      <c r="Q47" s="54" t="str">
        <f>IF(OR(J47="",K47=""),"",IFERROR(J47*VLOOKUP(K47,Setup!$A$38:$E$52,5,FALSE),""))</f>
        <v/>
      </c>
      <c r="R47" s="54" t="str">
        <f>IF(Q47="","",IFERROR(Q47/VLOOKUP("EUR",Setup!$A$38:$E$52,5,FALSE),""))</f>
        <v/>
      </c>
      <c r="S47" s="54" t="str">
        <f>IF(Q47="","",IFERROR(Q47/VLOOKUP("USD",Setup!$A$38:$E$52,5,FALSE),""))</f>
        <v/>
      </c>
    </row>
    <row r="48" ht="24.0" customHeight="1">
      <c r="A48" s="78"/>
      <c r="B48" s="78"/>
      <c r="C48" s="97" t="str">
        <f t="array" ref="C48">IF(B48="","",IFERROR(INDEX(Applications!$C$6:$C$205,MATCH(B48,Applications!$A$6:$A$205,0)),""))</f>
        <v/>
      </c>
      <c r="D48" s="99"/>
      <c r="E48" s="99"/>
      <c r="F48" s="104"/>
      <c r="G48" s="99"/>
      <c r="H48" s="78"/>
      <c r="I48" s="65"/>
      <c r="J48" s="104"/>
      <c r="K48" s="99"/>
      <c r="L48" s="110" t="b">
        <v>0</v>
      </c>
      <c r="M48" s="78"/>
      <c r="N48" s="54" t="str">
        <f>IF(OR(F48="",G48=""),"",IFERROR(F48*VLOOKUP(G48,Setup!$A$38:$E$52,5,FALSE),""))</f>
        <v/>
      </c>
      <c r="O48" s="54" t="str">
        <f>IF(N48="","",IFERROR(N48/VLOOKUP("EUR",Setup!$A$38:$E$52,5,FALSE),""))</f>
        <v/>
      </c>
      <c r="P48" s="54" t="str">
        <f>IF(N48="","",IFERROR(N48/VLOOKUP("USD",Setup!$A$38:$E$52,5,FALSE),""))</f>
        <v/>
      </c>
      <c r="Q48" s="54" t="str">
        <f>IF(OR(J48="",K48=""),"",IFERROR(J48*VLOOKUP(K48,Setup!$A$38:$E$52,5,FALSE),""))</f>
        <v/>
      </c>
      <c r="R48" s="54" t="str">
        <f>IF(Q48="","",IFERROR(Q48/VLOOKUP("EUR",Setup!$A$38:$E$52,5,FALSE),""))</f>
        <v/>
      </c>
      <c r="S48" s="54" t="str">
        <f>IF(Q48="","",IFERROR(Q48/VLOOKUP("USD",Setup!$A$38:$E$52,5,FALSE),""))</f>
        <v/>
      </c>
    </row>
    <row r="49" ht="24.0" customHeight="1">
      <c r="A49" s="78"/>
      <c r="B49" s="78"/>
      <c r="C49" s="97" t="str">
        <f t="array" ref="C49">IF(B49="","",IFERROR(INDEX(Applications!$C$6:$C$205,MATCH(B49,Applications!$A$6:$A$205,0)),""))</f>
        <v/>
      </c>
      <c r="D49" s="99"/>
      <c r="E49" s="99"/>
      <c r="F49" s="104"/>
      <c r="G49" s="99"/>
      <c r="H49" s="78"/>
      <c r="I49" s="65"/>
      <c r="J49" s="104"/>
      <c r="K49" s="99"/>
      <c r="L49" s="110" t="b">
        <v>0</v>
      </c>
      <c r="M49" s="78"/>
      <c r="N49" s="54" t="str">
        <f>IF(OR(F49="",G49=""),"",IFERROR(F49*VLOOKUP(G49,Setup!$A$38:$E$52,5,FALSE),""))</f>
        <v/>
      </c>
      <c r="O49" s="54" t="str">
        <f>IF(N49="","",IFERROR(N49/VLOOKUP("EUR",Setup!$A$38:$E$52,5,FALSE),""))</f>
        <v/>
      </c>
      <c r="P49" s="54" t="str">
        <f>IF(N49="","",IFERROR(N49/VLOOKUP("USD",Setup!$A$38:$E$52,5,FALSE),""))</f>
        <v/>
      </c>
      <c r="Q49" s="54" t="str">
        <f>IF(OR(J49="",K49=""),"",IFERROR(J49*VLOOKUP(K49,Setup!$A$38:$E$52,5,FALSE),""))</f>
        <v/>
      </c>
      <c r="R49" s="54" t="str">
        <f>IF(Q49="","",IFERROR(Q49/VLOOKUP("EUR",Setup!$A$38:$E$52,5,FALSE),""))</f>
        <v/>
      </c>
      <c r="S49" s="54" t="str">
        <f>IF(Q49="","",IFERROR(Q49/VLOOKUP("USD",Setup!$A$38:$E$52,5,FALSE),""))</f>
        <v/>
      </c>
    </row>
    <row r="50" ht="24.0" customHeight="1">
      <c r="A50" s="78"/>
      <c r="B50" s="78"/>
      <c r="C50" s="97" t="str">
        <f t="array" ref="C50">IF(B50="","",IFERROR(INDEX(Applications!$C$6:$C$205,MATCH(B50,Applications!$A$6:$A$205,0)),""))</f>
        <v/>
      </c>
      <c r="D50" s="99"/>
      <c r="E50" s="99"/>
      <c r="F50" s="104"/>
      <c r="G50" s="99"/>
      <c r="H50" s="78"/>
      <c r="I50" s="65"/>
      <c r="J50" s="104"/>
      <c r="K50" s="99"/>
      <c r="L50" s="110" t="b">
        <v>0</v>
      </c>
      <c r="M50" s="78"/>
      <c r="N50" s="54" t="str">
        <f>IF(OR(F50="",G50=""),"",IFERROR(F50*VLOOKUP(G50,Setup!$A$38:$E$52,5,FALSE),""))</f>
        <v/>
      </c>
      <c r="O50" s="54" t="str">
        <f>IF(N50="","",IFERROR(N50/VLOOKUP("EUR",Setup!$A$38:$E$52,5,FALSE),""))</f>
        <v/>
      </c>
      <c r="P50" s="54" t="str">
        <f>IF(N50="","",IFERROR(N50/VLOOKUP("USD",Setup!$A$38:$E$52,5,FALSE),""))</f>
        <v/>
      </c>
      <c r="Q50" s="54" t="str">
        <f>IF(OR(J50="",K50=""),"",IFERROR(J50*VLOOKUP(K50,Setup!$A$38:$E$52,5,FALSE),""))</f>
        <v/>
      </c>
      <c r="R50" s="54" t="str">
        <f>IF(Q50="","",IFERROR(Q50/VLOOKUP("EUR",Setup!$A$38:$E$52,5,FALSE),""))</f>
        <v/>
      </c>
      <c r="S50" s="54" t="str">
        <f>IF(Q50="","",IFERROR(Q50/VLOOKUP("USD",Setup!$A$38:$E$52,5,FALSE),""))</f>
        <v/>
      </c>
    </row>
    <row r="51" ht="24.0" customHeight="1">
      <c r="A51" s="78"/>
      <c r="B51" s="78"/>
      <c r="C51" s="97" t="str">
        <f t="array" ref="C51">IF(B51="","",IFERROR(INDEX(Applications!$C$6:$C$205,MATCH(B51,Applications!$A$6:$A$205,0)),""))</f>
        <v/>
      </c>
      <c r="D51" s="99"/>
      <c r="E51" s="99"/>
      <c r="F51" s="104"/>
      <c r="G51" s="99"/>
      <c r="H51" s="78"/>
      <c r="I51" s="65"/>
      <c r="J51" s="104"/>
      <c r="K51" s="99"/>
      <c r="L51" s="110" t="b">
        <v>0</v>
      </c>
      <c r="M51" s="78"/>
      <c r="N51" s="54" t="str">
        <f>IF(OR(F51="",G51=""),"",IFERROR(F51*VLOOKUP(G51,Setup!$A$38:$E$52,5,FALSE),""))</f>
        <v/>
      </c>
      <c r="O51" s="54" t="str">
        <f>IF(N51="","",IFERROR(N51/VLOOKUP("EUR",Setup!$A$38:$E$52,5,FALSE),""))</f>
        <v/>
      </c>
      <c r="P51" s="54" t="str">
        <f>IF(N51="","",IFERROR(N51/VLOOKUP("USD",Setup!$A$38:$E$52,5,FALSE),""))</f>
        <v/>
      </c>
      <c r="Q51" s="54" t="str">
        <f>IF(OR(J51="",K51=""),"",IFERROR(J51*VLOOKUP(K51,Setup!$A$38:$E$52,5,FALSE),""))</f>
        <v/>
      </c>
      <c r="R51" s="54" t="str">
        <f>IF(Q51="","",IFERROR(Q51/VLOOKUP("EUR",Setup!$A$38:$E$52,5,FALSE),""))</f>
        <v/>
      </c>
      <c r="S51" s="54" t="str">
        <f>IF(Q51="","",IFERROR(Q51/VLOOKUP("USD",Setup!$A$38:$E$52,5,FALSE),""))</f>
        <v/>
      </c>
    </row>
    <row r="52" ht="24.0" customHeight="1">
      <c r="A52" s="78"/>
      <c r="B52" s="78"/>
      <c r="C52" s="97" t="str">
        <f t="array" ref="C52">IF(B52="","",IFERROR(INDEX(Applications!$C$6:$C$205,MATCH(B52,Applications!$A$6:$A$205,0)),""))</f>
        <v/>
      </c>
      <c r="D52" s="99"/>
      <c r="E52" s="99"/>
      <c r="F52" s="104"/>
      <c r="G52" s="99"/>
      <c r="H52" s="78"/>
      <c r="I52" s="65"/>
      <c r="J52" s="104"/>
      <c r="K52" s="99"/>
      <c r="L52" s="110" t="b">
        <v>0</v>
      </c>
      <c r="M52" s="78"/>
      <c r="N52" s="54" t="str">
        <f>IF(OR(F52="",G52=""),"",IFERROR(F52*VLOOKUP(G52,Setup!$A$38:$E$52,5,FALSE),""))</f>
        <v/>
      </c>
      <c r="O52" s="54" t="str">
        <f>IF(N52="","",IFERROR(N52/VLOOKUP("EUR",Setup!$A$38:$E$52,5,FALSE),""))</f>
        <v/>
      </c>
      <c r="P52" s="54" t="str">
        <f>IF(N52="","",IFERROR(N52/VLOOKUP("USD",Setup!$A$38:$E$52,5,FALSE),""))</f>
        <v/>
      </c>
      <c r="Q52" s="54" t="str">
        <f>IF(OR(J52="",K52=""),"",IFERROR(J52*VLOOKUP(K52,Setup!$A$38:$E$52,5,FALSE),""))</f>
        <v/>
      </c>
      <c r="R52" s="54" t="str">
        <f>IF(Q52="","",IFERROR(Q52/VLOOKUP("EUR",Setup!$A$38:$E$52,5,FALSE),""))</f>
        <v/>
      </c>
      <c r="S52" s="54" t="str">
        <f>IF(Q52="","",IFERROR(Q52/VLOOKUP("USD",Setup!$A$38:$E$52,5,FALSE),""))</f>
        <v/>
      </c>
    </row>
    <row r="53" ht="24.0" customHeight="1">
      <c r="A53" s="78"/>
      <c r="B53" s="78"/>
      <c r="C53" s="97" t="str">
        <f t="array" ref="C53">IF(B53="","",IFERROR(INDEX(Applications!$C$6:$C$205,MATCH(B53,Applications!$A$6:$A$205,0)),""))</f>
        <v/>
      </c>
      <c r="D53" s="99"/>
      <c r="E53" s="99"/>
      <c r="F53" s="104"/>
      <c r="G53" s="99"/>
      <c r="H53" s="78"/>
      <c r="I53" s="65"/>
      <c r="J53" s="104"/>
      <c r="K53" s="99"/>
      <c r="L53" s="110" t="b">
        <v>0</v>
      </c>
      <c r="M53" s="78"/>
      <c r="N53" s="54" t="str">
        <f>IF(OR(F53="",G53=""),"",IFERROR(F53*VLOOKUP(G53,Setup!$A$38:$E$52,5,FALSE),""))</f>
        <v/>
      </c>
      <c r="O53" s="54" t="str">
        <f>IF(N53="","",IFERROR(N53/VLOOKUP("EUR",Setup!$A$38:$E$52,5,FALSE),""))</f>
        <v/>
      </c>
      <c r="P53" s="54" t="str">
        <f>IF(N53="","",IFERROR(N53/VLOOKUP("USD",Setup!$A$38:$E$52,5,FALSE),""))</f>
        <v/>
      </c>
      <c r="Q53" s="54" t="str">
        <f>IF(OR(J53="",K53=""),"",IFERROR(J53*VLOOKUP(K53,Setup!$A$38:$E$52,5,FALSE),""))</f>
        <v/>
      </c>
      <c r="R53" s="54" t="str">
        <f>IF(Q53="","",IFERROR(Q53/VLOOKUP("EUR",Setup!$A$38:$E$52,5,FALSE),""))</f>
        <v/>
      </c>
      <c r="S53" s="54" t="str">
        <f>IF(Q53="","",IFERROR(Q53/VLOOKUP("USD",Setup!$A$38:$E$52,5,FALSE),""))</f>
        <v/>
      </c>
    </row>
    <row r="54" ht="24.0" customHeight="1">
      <c r="A54" s="78"/>
      <c r="B54" s="78"/>
      <c r="C54" s="97" t="str">
        <f t="array" ref="C54">IF(B54="","",IFERROR(INDEX(Applications!$C$6:$C$205,MATCH(B54,Applications!$A$6:$A$205,0)),""))</f>
        <v/>
      </c>
      <c r="D54" s="99"/>
      <c r="E54" s="99"/>
      <c r="F54" s="104"/>
      <c r="G54" s="99"/>
      <c r="H54" s="78"/>
      <c r="I54" s="65"/>
      <c r="J54" s="104"/>
      <c r="K54" s="99"/>
      <c r="L54" s="110" t="b">
        <v>0</v>
      </c>
      <c r="M54" s="78"/>
      <c r="N54" s="54" t="str">
        <f>IF(OR(F54="",G54=""),"",IFERROR(F54*VLOOKUP(G54,Setup!$A$38:$E$52,5,FALSE),""))</f>
        <v/>
      </c>
      <c r="O54" s="54" t="str">
        <f>IF(N54="","",IFERROR(N54/VLOOKUP("EUR",Setup!$A$38:$E$52,5,FALSE),""))</f>
        <v/>
      </c>
      <c r="P54" s="54" t="str">
        <f>IF(N54="","",IFERROR(N54/VLOOKUP("USD",Setup!$A$38:$E$52,5,FALSE),""))</f>
        <v/>
      </c>
      <c r="Q54" s="54" t="str">
        <f>IF(OR(J54="",K54=""),"",IFERROR(J54*VLOOKUP(K54,Setup!$A$38:$E$52,5,FALSE),""))</f>
        <v/>
      </c>
      <c r="R54" s="54" t="str">
        <f>IF(Q54="","",IFERROR(Q54/VLOOKUP("EUR",Setup!$A$38:$E$52,5,FALSE),""))</f>
        <v/>
      </c>
      <c r="S54" s="54" t="str">
        <f>IF(Q54="","",IFERROR(Q54/VLOOKUP("USD",Setup!$A$38:$E$52,5,FALSE),""))</f>
        <v/>
      </c>
    </row>
    <row r="55" ht="24.0" customHeight="1">
      <c r="A55" s="78"/>
      <c r="B55" s="78"/>
      <c r="C55" s="97" t="str">
        <f t="array" ref="C55">IF(B55="","",IFERROR(INDEX(Applications!$C$6:$C$205,MATCH(B55,Applications!$A$6:$A$205,0)),""))</f>
        <v/>
      </c>
      <c r="D55" s="99"/>
      <c r="E55" s="99"/>
      <c r="F55" s="104"/>
      <c r="G55" s="99"/>
      <c r="H55" s="78"/>
      <c r="I55" s="65"/>
      <c r="J55" s="104"/>
      <c r="K55" s="99"/>
      <c r="L55" s="110" t="b">
        <v>0</v>
      </c>
      <c r="M55" s="78"/>
      <c r="N55" s="54" t="str">
        <f>IF(OR(F55="",G55=""),"",IFERROR(F55*VLOOKUP(G55,Setup!$A$38:$E$52,5,FALSE),""))</f>
        <v/>
      </c>
      <c r="O55" s="54" t="str">
        <f>IF(N55="","",IFERROR(N55/VLOOKUP("EUR",Setup!$A$38:$E$52,5,FALSE),""))</f>
        <v/>
      </c>
      <c r="P55" s="54" t="str">
        <f>IF(N55="","",IFERROR(N55/VLOOKUP("USD",Setup!$A$38:$E$52,5,FALSE),""))</f>
        <v/>
      </c>
      <c r="Q55" s="54" t="str">
        <f>IF(OR(J55="",K55=""),"",IFERROR(J55*VLOOKUP(K55,Setup!$A$38:$E$52,5,FALSE),""))</f>
        <v/>
      </c>
      <c r="R55" s="54" t="str">
        <f>IF(Q55="","",IFERROR(Q55/VLOOKUP("EUR",Setup!$A$38:$E$52,5,FALSE),""))</f>
        <v/>
      </c>
      <c r="S55" s="54" t="str">
        <f>IF(Q55="","",IFERROR(Q55/VLOOKUP("USD",Setup!$A$38:$E$52,5,FALSE),""))</f>
        <v/>
      </c>
    </row>
    <row r="56" ht="24.0" customHeight="1">
      <c r="A56" s="78"/>
      <c r="B56" s="78"/>
      <c r="C56" s="97" t="str">
        <f t="array" ref="C56">IF(B56="","",IFERROR(INDEX(Applications!$C$6:$C$205,MATCH(B56,Applications!$A$6:$A$205,0)),""))</f>
        <v/>
      </c>
      <c r="D56" s="99"/>
      <c r="E56" s="99"/>
      <c r="F56" s="104"/>
      <c r="G56" s="99"/>
      <c r="H56" s="78"/>
      <c r="I56" s="65"/>
      <c r="J56" s="104"/>
      <c r="K56" s="99"/>
      <c r="L56" s="110" t="b">
        <v>0</v>
      </c>
      <c r="M56" s="78"/>
      <c r="N56" s="54" t="str">
        <f>IF(OR(F56="",G56=""),"",IFERROR(F56*VLOOKUP(G56,Setup!$A$38:$E$52,5,FALSE),""))</f>
        <v/>
      </c>
      <c r="O56" s="54" t="str">
        <f>IF(N56="","",IFERROR(N56/VLOOKUP("EUR",Setup!$A$38:$E$52,5,FALSE),""))</f>
        <v/>
      </c>
      <c r="P56" s="54" t="str">
        <f>IF(N56="","",IFERROR(N56/VLOOKUP("USD",Setup!$A$38:$E$52,5,FALSE),""))</f>
        <v/>
      </c>
      <c r="Q56" s="54" t="str">
        <f>IF(OR(J56="",K56=""),"",IFERROR(J56*VLOOKUP(K56,Setup!$A$38:$E$52,5,FALSE),""))</f>
        <v/>
      </c>
      <c r="R56" s="54" t="str">
        <f>IF(Q56="","",IFERROR(Q56/VLOOKUP("EUR",Setup!$A$38:$E$52,5,FALSE),""))</f>
        <v/>
      </c>
      <c r="S56" s="54" t="str">
        <f>IF(Q56="","",IFERROR(Q56/VLOOKUP("USD",Setup!$A$38:$E$52,5,FALSE),""))</f>
        <v/>
      </c>
    </row>
    <row r="57" ht="24.0" customHeight="1">
      <c r="A57" s="78"/>
      <c r="B57" s="78"/>
      <c r="C57" s="97" t="str">
        <f t="array" ref="C57">IF(B57="","",IFERROR(INDEX(Applications!$C$6:$C$205,MATCH(B57,Applications!$A$6:$A$205,0)),""))</f>
        <v/>
      </c>
      <c r="D57" s="99"/>
      <c r="E57" s="99"/>
      <c r="F57" s="104"/>
      <c r="G57" s="99"/>
      <c r="H57" s="78"/>
      <c r="I57" s="65"/>
      <c r="J57" s="104"/>
      <c r="K57" s="99"/>
      <c r="L57" s="110" t="b">
        <v>0</v>
      </c>
      <c r="M57" s="78"/>
      <c r="N57" s="54" t="str">
        <f>IF(OR(F57="",G57=""),"",IFERROR(F57*VLOOKUP(G57,Setup!$A$38:$E$52,5,FALSE),""))</f>
        <v/>
      </c>
      <c r="O57" s="54" t="str">
        <f>IF(N57="","",IFERROR(N57/VLOOKUP("EUR",Setup!$A$38:$E$52,5,FALSE),""))</f>
        <v/>
      </c>
      <c r="P57" s="54" t="str">
        <f>IF(N57="","",IFERROR(N57/VLOOKUP("USD",Setup!$A$38:$E$52,5,FALSE),""))</f>
        <v/>
      </c>
      <c r="Q57" s="54" t="str">
        <f>IF(OR(J57="",K57=""),"",IFERROR(J57*VLOOKUP(K57,Setup!$A$38:$E$52,5,FALSE),""))</f>
        <v/>
      </c>
      <c r="R57" s="54" t="str">
        <f>IF(Q57="","",IFERROR(Q57/VLOOKUP("EUR",Setup!$A$38:$E$52,5,FALSE),""))</f>
        <v/>
      </c>
      <c r="S57" s="54" t="str">
        <f>IF(Q57="","",IFERROR(Q57/VLOOKUP("USD",Setup!$A$38:$E$52,5,FALSE),""))</f>
        <v/>
      </c>
    </row>
    <row r="58" ht="24.0" customHeight="1">
      <c r="A58" s="78"/>
      <c r="B58" s="78"/>
      <c r="C58" s="97" t="str">
        <f t="array" ref="C58">IF(B58="","",IFERROR(INDEX(Applications!$C$6:$C$205,MATCH(B58,Applications!$A$6:$A$205,0)),""))</f>
        <v/>
      </c>
      <c r="D58" s="99"/>
      <c r="E58" s="99"/>
      <c r="F58" s="104"/>
      <c r="G58" s="99"/>
      <c r="H58" s="78"/>
      <c r="I58" s="65"/>
      <c r="J58" s="104"/>
      <c r="K58" s="99"/>
      <c r="L58" s="110" t="b">
        <v>0</v>
      </c>
      <c r="M58" s="78"/>
      <c r="N58" s="54" t="str">
        <f>IF(OR(F58="",G58=""),"",IFERROR(F58*VLOOKUP(G58,Setup!$A$38:$E$52,5,FALSE),""))</f>
        <v/>
      </c>
      <c r="O58" s="54" t="str">
        <f>IF(N58="","",IFERROR(N58/VLOOKUP("EUR",Setup!$A$38:$E$52,5,FALSE),""))</f>
        <v/>
      </c>
      <c r="P58" s="54" t="str">
        <f>IF(N58="","",IFERROR(N58/VLOOKUP("USD",Setup!$A$38:$E$52,5,FALSE),""))</f>
        <v/>
      </c>
      <c r="Q58" s="54" t="str">
        <f>IF(OR(J58="",K58=""),"",IFERROR(J58*VLOOKUP(K58,Setup!$A$38:$E$52,5,FALSE),""))</f>
        <v/>
      </c>
      <c r="R58" s="54" t="str">
        <f>IF(Q58="","",IFERROR(Q58/VLOOKUP("EUR",Setup!$A$38:$E$52,5,FALSE),""))</f>
        <v/>
      </c>
      <c r="S58" s="54" t="str">
        <f>IF(Q58="","",IFERROR(Q58/VLOOKUP("USD",Setup!$A$38:$E$52,5,FALSE),""))</f>
        <v/>
      </c>
    </row>
    <row r="59" ht="24.0" customHeight="1">
      <c r="A59" s="78"/>
      <c r="B59" s="78"/>
      <c r="C59" s="97" t="str">
        <f t="array" ref="C59">IF(B59="","",IFERROR(INDEX(Applications!$C$6:$C$205,MATCH(B59,Applications!$A$6:$A$205,0)),""))</f>
        <v/>
      </c>
      <c r="D59" s="99"/>
      <c r="E59" s="99"/>
      <c r="F59" s="104"/>
      <c r="G59" s="99"/>
      <c r="H59" s="78"/>
      <c r="I59" s="65"/>
      <c r="J59" s="104"/>
      <c r="K59" s="99"/>
      <c r="L59" s="110" t="b">
        <v>0</v>
      </c>
      <c r="M59" s="78"/>
      <c r="N59" s="54" t="str">
        <f>IF(OR(F59="",G59=""),"",IFERROR(F59*VLOOKUP(G59,Setup!$A$38:$E$52,5,FALSE),""))</f>
        <v/>
      </c>
      <c r="O59" s="54" t="str">
        <f>IF(N59="","",IFERROR(N59/VLOOKUP("EUR",Setup!$A$38:$E$52,5,FALSE),""))</f>
        <v/>
      </c>
      <c r="P59" s="54" t="str">
        <f>IF(N59="","",IFERROR(N59/VLOOKUP("USD",Setup!$A$38:$E$52,5,FALSE),""))</f>
        <v/>
      </c>
      <c r="Q59" s="54" t="str">
        <f>IF(OR(J59="",K59=""),"",IFERROR(J59*VLOOKUP(K59,Setup!$A$38:$E$52,5,FALSE),""))</f>
        <v/>
      </c>
      <c r="R59" s="54" t="str">
        <f>IF(Q59="","",IFERROR(Q59/VLOOKUP("EUR",Setup!$A$38:$E$52,5,FALSE),""))</f>
        <v/>
      </c>
      <c r="S59" s="54" t="str">
        <f>IF(Q59="","",IFERROR(Q59/VLOOKUP("USD",Setup!$A$38:$E$52,5,FALSE),""))</f>
        <v/>
      </c>
    </row>
    <row r="60" ht="24.0" customHeight="1">
      <c r="A60" s="78"/>
      <c r="B60" s="78"/>
      <c r="C60" s="97" t="str">
        <f t="array" ref="C60">IF(B60="","",IFERROR(INDEX(Applications!$C$6:$C$205,MATCH(B60,Applications!$A$6:$A$205,0)),""))</f>
        <v/>
      </c>
      <c r="D60" s="99"/>
      <c r="E60" s="99"/>
      <c r="F60" s="104"/>
      <c r="G60" s="99"/>
      <c r="H60" s="78"/>
      <c r="I60" s="65"/>
      <c r="J60" s="104"/>
      <c r="K60" s="99"/>
      <c r="L60" s="110" t="b">
        <v>0</v>
      </c>
      <c r="M60" s="78"/>
      <c r="N60" s="54" t="str">
        <f>IF(OR(F60="",G60=""),"",IFERROR(F60*VLOOKUP(G60,Setup!$A$38:$E$52,5,FALSE),""))</f>
        <v/>
      </c>
      <c r="O60" s="54" t="str">
        <f>IF(N60="","",IFERROR(N60/VLOOKUP("EUR",Setup!$A$38:$E$52,5,FALSE),""))</f>
        <v/>
      </c>
      <c r="P60" s="54" t="str">
        <f>IF(N60="","",IFERROR(N60/VLOOKUP("USD",Setup!$A$38:$E$52,5,FALSE),""))</f>
        <v/>
      </c>
      <c r="Q60" s="54" t="str">
        <f>IF(OR(J60="",K60=""),"",IFERROR(J60*VLOOKUP(K60,Setup!$A$38:$E$52,5,FALSE),""))</f>
        <v/>
      </c>
      <c r="R60" s="54" t="str">
        <f>IF(Q60="","",IFERROR(Q60/VLOOKUP("EUR",Setup!$A$38:$E$52,5,FALSE),""))</f>
        <v/>
      </c>
      <c r="S60" s="54" t="str">
        <f>IF(Q60="","",IFERROR(Q60/VLOOKUP("USD",Setup!$A$38:$E$52,5,FALSE),""))</f>
        <v/>
      </c>
    </row>
    <row r="61" ht="24.0" customHeight="1">
      <c r="A61" s="78"/>
      <c r="B61" s="78"/>
      <c r="C61" s="97" t="str">
        <f t="array" ref="C61">IF(B61="","",IFERROR(INDEX(Applications!$C$6:$C$205,MATCH(B61,Applications!$A$6:$A$205,0)),""))</f>
        <v/>
      </c>
      <c r="D61" s="99"/>
      <c r="E61" s="99"/>
      <c r="F61" s="104"/>
      <c r="G61" s="99"/>
      <c r="H61" s="78"/>
      <c r="I61" s="65"/>
      <c r="J61" s="104"/>
      <c r="K61" s="99"/>
      <c r="L61" s="110" t="b">
        <v>0</v>
      </c>
      <c r="M61" s="78"/>
      <c r="N61" s="54" t="str">
        <f>IF(OR(F61="",G61=""),"",IFERROR(F61*VLOOKUP(G61,Setup!$A$38:$E$52,5,FALSE),""))</f>
        <v/>
      </c>
      <c r="O61" s="54" t="str">
        <f>IF(N61="","",IFERROR(N61/VLOOKUP("EUR",Setup!$A$38:$E$52,5,FALSE),""))</f>
        <v/>
      </c>
      <c r="P61" s="54" t="str">
        <f>IF(N61="","",IFERROR(N61/VLOOKUP("USD",Setup!$A$38:$E$52,5,FALSE),""))</f>
        <v/>
      </c>
      <c r="Q61" s="54" t="str">
        <f>IF(OR(J61="",K61=""),"",IFERROR(J61*VLOOKUP(K61,Setup!$A$38:$E$52,5,FALSE),""))</f>
        <v/>
      </c>
      <c r="R61" s="54" t="str">
        <f>IF(Q61="","",IFERROR(Q61/VLOOKUP("EUR",Setup!$A$38:$E$52,5,FALSE),""))</f>
        <v/>
      </c>
      <c r="S61" s="54" t="str">
        <f>IF(Q61="","",IFERROR(Q61/VLOOKUP("USD",Setup!$A$38:$E$52,5,FALSE),""))</f>
        <v/>
      </c>
    </row>
    <row r="62" ht="24.0" customHeight="1">
      <c r="A62" s="78"/>
      <c r="B62" s="78"/>
      <c r="C62" s="97" t="str">
        <f t="array" ref="C62">IF(B62="","",IFERROR(INDEX(Applications!$C$6:$C$205,MATCH(B62,Applications!$A$6:$A$205,0)),""))</f>
        <v/>
      </c>
      <c r="D62" s="99"/>
      <c r="E62" s="99"/>
      <c r="F62" s="104"/>
      <c r="G62" s="99"/>
      <c r="H62" s="78"/>
      <c r="I62" s="65"/>
      <c r="J62" s="104"/>
      <c r="K62" s="99"/>
      <c r="L62" s="110" t="b">
        <v>0</v>
      </c>
      <c r="M62" s="78"/>
      <c r="N62" s="54" t="str">
        <f>IF(OR(F62="",G62=""),"",IFERROR(F62*VLOOKUP(G62,Setup!$A$38:$E$52,5,FALSE),""))</f>
        <v/>
      </c>
      <c r="O62" s="54" t="str">
        <f>IF(N62="","",IFERROR(N62/VLOOKUP("EUR",Setup!$A$38:$E$52,5,FALSE),""))</f>
        <v/>
      </c>
      <c r="P62" s="54" t="str">
        <f>IF(N62="","",IFERROR(N62/VLOOKUP("USD",Setup!$A$38:$E$52,5,FALSE),""))</f>
        <v/>
      </c>
      <c r="Q62" s="54" t="str">
        <f>IF(OR(J62="",K62=""),"",IFERROR(J62*VLOOKUP(K62,Setup!$A$38:$E$52,5,FALSE),""))</f>
        <v/>
      </c>
      <c r="R62" s="54" t="str">
        <f>IF(Q62="","",IFERROR(Q62/VLOOKUP("EUR",Setup!$A$38:$E$52,5,FALSE),""))</f>
        <v/>
      </c>
      <c r="S62" s="54" t="str">
        <f>IF(Q62="","",IFERROR(Q62/VLOOKUP("USD",Setup!$A$38:$E$52,5,FALSE),""))</f>
        <v/>
      </c>
    </row>
    <row r="63" ht="24.0" customHeight="1">
      <c r="A63" s="78"/>
      <c r="B63" s="78"/>
      <c r="C63" s="97" t="str">
        <f t="array" ref="C63">IF(B63="","",IFERROR(INDEX(Applications!$C$6:$C$205,MATCH(B63,Applications!$A$6:$A$205,0)),""))</f>
        <v/>
      </c>
      <c r="D63" s="99"/>
      <c r="E63" s="99"/>
      <c r="F63" s="104"/>
      <c r="G63" s="99"/>
      <c r="H63" s="78"/>
      <c r="I63" s="65"/>
      <c r="J63" s="104"/>
      <c r="K63" s="99"/>
      <c r="L63" s="110" t="b">
        <v>0</v>
      </c>
      <c r="M63" s="78"/>
      <c r="N63" s="54" t="str">
        <f>IF(OR(F63="",G63=""),"",IFERROR(F63*VLOOKUP(G63,Setup!$A$38:$E$52,5,FALSE),""))</f>
        <v/>
      </c>
      <c r="O63" s="54" t="str">
        <f>IF(N63="","",IFERROR(N63/VLOOKUP("EUR",Setup!$A$38:$E$52,5,FALSE),""))</f>
        <v/>
      </c>
      <c r="P63" s="54" t="str">
        <f>IF(N63="","",IFERROR(N63/VLOOKUP("USD",Setup!$A$38:$E$52,5,FALSE),""))</f>
        <v/>
      </c>
      <c r="Q63" s="54" t="str">
        <f>IF(OR(J63="",K63=""),"",IFERROR(J63*VLOOKUP(K63,Setup!$A$38:$E$52,5,FALSE),""))</f>
        <v/>
      </c>
      <c r="R63" s="54" t="str">
        <f>IF(Q63="","",IFERROR(Q63/VLOOKUP("EUR",Setup!$A$38:$E$52,5,FALSE),""))</f>
        <v/>
      </c>
      <c r="S63" s="54" t="str">
        <f>IF(Q63="","",IFERROR(Q63/VLOOKUP("USD",Setup!$A$38:$E$52,5,FALSE),""))</f>
        <v/>
      </c>
    </row>
    <row r="64" ht="24.0" customHeight="1">
      <c r="A64" s="78"/>
      <c r="B64" s="78"/>
      <c r="C64" s="97" t="str">
        <f t="array" ref="C64">IF(B64="","",IFERROR(INDEX(Applications!$C$6:$C$205,MATCH(B64,Applications!$A$6:$A$205,0)),""))</f>
        <v/>
      </c>
      <c r="D64" s="99"/>
      <c r="E64" s="99"/>
      <c r="F64" s="104"/>
      <c r="G64" s="99"/>
      <c r="H64" s="78"/>
      <c r="I64" s="65"/>
      <c r="J64" s="104"/>
      <c r="K64" s="99"/>
      <c r="L64" s="110" t="b">
        <v>0</v>
      </c>
      <c r="M64" s="78"/>
      <c r="N64" s="54" t="str">
        <f>IF(OR(F64="",G64=""),"",IFERROR(F64*VLOOKUP(G64,Setup!$A$38:$E$52,5,FALSE),""))</f>
        <v/>
      </c>
      <c r="O64" s="54" t="str">
        <f>IF(N64="","",IFERROR(N64/VLOOKUP("EUR",Setup!$A$38:$E$52,5,FALSE),""))</f>
        <v/>
      </c>
      <c r="P64" s="54" t="str">
        <f>IF(N64="","",IFERROR(N64/VLOOKUP("USD",Setup!$A$38:$E$52,5,FALSE),""))</f>
        <v/>
      </c>
      <c r="Q64" s="54" t="str">
        <f>IF(OR(J64="",K64=""),"",IFERROR(J64*VLOOKUP(K64,Setup!$A$38:$E$52,5,FALSE),""))</f>
        <v/>
      </c>
      <c r="R64" s="54" t="str">
        <f>IF(Q64="","",IFERROR(Q64/VLOOKUP("EUR",Setup!$A$38:$E$52,5,FALSE),""))</f>
        <v/>
      </c>
      <c r="S64" s="54" t="str">
        <f>IF(Q64="","",IFERROR(Q64/VLOOKUP("USD",Setup!$A$38:$E$52,5,FALSE),""))</f>
        <v/>
      </c>
    </row>
    <row r="65" ht="24.0" customHeight="1">
      <c r="A65" s="78"/>
      <c r="B65" s="78"/>
      <c r="C65" s="97" t="str">
        <f t="array" ref="C65">IF(B65="","",IFERROR(INDEX(Applications!$C$6:$C$205,MATCH(B65,Applications!$A$6:$A$205,0)),""))</f>
        <v/>
      </c>
      <c r="D65" s="99"/>
      <c r="E65" s="99"/>
      <c r="F65" s="104"/>
      <c r="G65" s="99"/>
      <c r="H65" s="78"/>
      <c r="I65" s="65"/>
      <c r="J65" s="104"/>
      <c r="K65" s="99"/>
      <c r="L65" s="110" t="b">
        <v>0</v>
      </c>
      <c r="M65" s="78"/>
      <c r="N65" s="54" t="str">
        <f>IF(OR(F65="",G65=""),"",IFERROR(F65*VLOOKUP(G65,Setup!$A$38:$E$52,5,FALSE),""))</f>
        <v/>
      </c>
      <c r="O65" s="54" t="str">
        <f>IF(N65="","",IFERROR(N65/VLOOKUP("EUR",Setup!$A$38:$E$52,5,FALSE),""))</f>
        <v/>
      </c>
      <c r="P65" s="54" t="str">
        <f>IF(N65="","",IFERROR(N65/VLOOKUP("USD",Setup!$A$38:$E$52,5,FALSE),""))</f>
        <v/>
      </c>
      <c r="Q65" s="54" t="str">
        <f>IF(OR(J65="",K65=""),"",IFERROR(J65*VLOOKUP(K65,Setup!$A$38:$E$52,5,FALSE),""))</f>
        <v/>
      </c>
      <c r="R65" s="54" t="str">
        <f>IF(Q65="","",IFERROR(Q65/VLOOKUP("EUR",Setup!$A$38:$E$52,5,FALSE),""))</f>
        <v/>
      </c>
      <c r="S65" s="54" t="str">
        <f>IF(Q65="","",IFERROR(Q65/VLOOKUP("USD",Setup!$A$38:$E$52,5,FALSE),""))</f>
        <v/>
      </c>
    </row>
    <row r="66" ht="24.0" customHeight="1">
      <c r="A66" s="78"/>
      <c r="B66" s="78"/>
      <c r="C66" s="97" t="str">
        <f t="array" ref="C66">IF(B66="","",IFERROR(INDEX(Applications!$C$6:$C$205,MATCH(B66,Applications!$A$6:$A$205,0)),""))</f>
        <v/>
      </c>
      <c r="D66" s="99"/>
      <c r="E66" s="99"/>
      <c r="F66" s="104"/>
      <c r="G66" s="99"/>
      <c r="H66" s="78"/>
      <c r="I66" s="65"/>
      <c r="J66" s="104"/>
      <c r="K66" s="99"/>
      <c r="L66" s="110" t="b">
        <v>0</v>
      </c>
      <c r="M66" s="78"/>
      <c r="N66" s="54" t="str">
        <f>IF(OR(F66="",G66=""),"",IFERROR(F66*VLOOKUP(G66,Setup!$A$38:$E$52,5,FALSE),""))</f>
        <v/>
      </c>
      <c r="O66" s="54" t="str">
        <f>IF(N66="","",IFERROR(N66/VLOOKUP("EUR",Setup!$A$38:$E$52,5,FALSE),""))</f>
        <v/>
      </c>
      <c r="P66" s="54" t="str">
        <f>IF(N66="","",IFERROR(N66/VLOOKUP("USD",Setup!$A$38:$E$52,5,FALSE),""))</f>
        <v/>
      </c>
      <c r="Q66" s="54" t="str">
        <f>IF(OR(J66="",K66=""),"",IFERROR(J66*VLOOKUP(K66,Setup!$A$38:$E$52,5,FALSE),""))</f>
        <v/>
      </c>
      <c r="R66" s="54" t="str">
        <f>IF(Q66="","",IFERROR(Q66/VLOOKUP("EUR",Setup!$A$38:$E$52,5,FALSE),""))</f>
        <v/>
      </c>
      <c r="S66" s="54" t="str">
        <f>IF(Q66="","",IFERROR(Q66/VLOOKUP("USD",Setup!$A$38:$E$52,5,FALSE),""))</f>
        <v/>
      </c>
    </row>
    <row r="67" ht="24.0" customHeight="1">
      <c r="A67" s="78"/>
      <c r="B67" s="78"/>
      <c r="C67" s="97" t="str">
        <f t="array" ref="C67">IF(B67="","",IFERROR(INDEX(Applications!$C$6:$C$205,MATCH(B67,Applications!$A$6:$A$205,0)),""))</f>
        <v/>
      </c>
      <c r="D67" s="99"/>
      <c r="E67" s="99"/>
      <c r="F67" s="104"/>
      <c r="G67" s="99"/>
      <c r="H67" s="78"/>
      <c r="I67" s="65"/>
      <c r="J67" s="104"/>
      <c r="K67" s="99"/>
      <c r="L67" s="110" t="b">
        <v>0</v>
      </c>
      <c r="M67" s="78"/>
      <c r="N67" s="54" t="str">
        <f>IF(OR(F67="",G67=""),"",IFERROR(F67*VLOOKUP(G67,Setup!$A$38:$E$52,5,FALSE),""))</f>
        <v/>
      </c>
      <c r="O67" s="54" t="str">
        <f>IF(N67="","",IFERROR(N67/VLOOKUP("EUR",Setup!$A$38:$E$52,5,FALSE),""))</f>
        <v/>
      </c>
      <c r="P67" s="54" t="str">
        <f>IF(N67="","",IFERROR(N67/VLOOKUP("USD",Setup!$A$38:$E$52,5,FALSE),""))</f>
        <v/>
      </c>
      <c r="Q67" s="54" t="str">
        <f>IF(OR(J67="",K67=""),"",IFERROR(J67*VLOOKUP(K67,Setup!$A$38:$E$52,5,FALSE),""))</f>
        <v/>
      </c>
      <c r="R67" s="54" t="str">
        <f>IF(Q67="","",IFERROR(Q67/VLOOKUP("EUR",Setup!$A$38:$E$52,5,FALSE),""))</f>
        <v/>
      </c>
      <c r="S67" s="54" t="str">
        <f>IF(Q67="","",IFERROR(Q67/VLOOKUP("USD",Setup!$A$38:$E$52,5,FALSE),""))</f>
        <v/>
      </c>
    </row>
    <row r="68" ht="24.0" customHeight="1">
      <c r="A68" s="78"/>
      <c r="B68" s="78"/>
      <c r="C68" s="97" t="str">
        <f t="array" ref="C68">IF(B68="","",IFERROR(INDEX(Applications!$C$6:$C$205,MATCH(B68,Applications!$A$6:$A$205,0)),""))</f>
        <v/>
      </c>
      <c r="D68" s="99"/>
      <c r="E68" s="99"/>
      <c r="F68" s="104"/>
      <c r="G68" s="99"/>
      <c r="H68" s="78"/>
      <c r="I68" s="65"/>
      <c r="J68" s="104"/>
      <c r="K68" s="99"/>
      <c r="L68" s="110" t="b">
        <v>0</v>
      </c>
      <c r="M68" s="78"/>
      <c r="N68" s="54" t="str">
        <f>IF(OR(F68="",G68=""),"",IFERROR(F68*VLOOKUP(G68,Setup!$A$38:$E$52,5,FALSE),""))</f>
        <v/>
      </c>
      <c r="O68" s="54" t="str">
        <f>IF(N68="","",IFERROR(N68/VLOOKUP("EUR",Setup!$A$38:$E$52,5,FALSE),""))</f>
        <v/>
      </c>
      <c r="P68" s="54" t="str">
        <f>IF(N68="","",IFERROR(N68/VLOOKUP("USD",Setup!$A$38:$E$52,5,FALSE),""))</f>
        <v/>
      </c>
      <c r="Q68" s="54" t="str">
        <f>IF(OR(J68="",K68=""),"",IFERROR(J68*VLOOKUP(K68,Setup!$A$38:$E$52,5,FALSE),""))</f>
        <v/>
      </c>
      <c r="R68" s="54" t="str">
        <f>IF(Q68="","",IFERROR(Q68/VLOOKUP("EUR",Setup!$A$38:$E$52,5,FALSE),""))</f>
        <v/>
      </c>
      <c r="S68" s="54" t="str">
        <f>IF(Q68="","",IFERROR(Q68/VLOOKUP("USD",Setup!$A$38:$E$52,5,FALSE),""))</f>
        <v/>
      </c>
    </row>
    <row r="69" ht="24.0" customHeight="1">
      <c r="A69" s="78"/>
      <c r="B69" s="78"/>
      <c r="C69" s="97" t="str">
        <f t="array" ref="C69">IF(B69="","",IFERROR(INDEX(Applications!$C$6:$C$205,MATCH(B69,Applications!$A$6:$A$205,0)),""))</f>
        <v/>
      </c>
      <c r="D69" s="99"/>
      <c r="E69" s="99"/>
      <c r="F69" s="104"/>
      <c r="G69" s="99"/>
      <c r="H69" s="78"/>
      <c r="I69" s="65"/>
      <c r="J69" s="104"/>
      <c r="K69" s="99"/>
      <c r="L69" s="110" t="b">
        <v>0</v>
      </c>
      <c r="M69" s="78"/>
      <c r="N69" s="54" t="str">
        <f>IF(OR(F69="",G69=""),"",IFERROR(F69*VLOOKUP(G69,Setup!$A$38:$E$52,5,FALSE),""))</f>
        <v/>
      </c>
      <c r="O69" s="54" t="str">
        <f>IF(N69="","",IFERROR(N69/VLOOKUP("EUR",Setup!$A$38:$E$52,5,FALSE),""))</f>
        <v/>
      </c>
      <c r="P69" s="54" t="str">
        <f>IF(N69="","",IFERROR(N69/VLOOKUP("USD",Setup!$A$38:$E$52,5,FALSE),""))</f>
        <v/>
      </c>
      <c r="Q69" s="54" t="str">
        <f>IF(OR(J69="",K69=""),"",IFERROR(J69*VLOOKUP(K69,Setup!$A$38:$E$52,5,FALSE),""))</f>
        <v/>
      </c>
      <c r="R69" s="54" t="str">
        <f>IF(Q69="","",IFERROR(Q69/VLOOKUP("EUR",Setup!$A$38:$E$52,5,FALSE),""))</f>
        <v/>
      </c>
      <c r="S69" s="54" t="str">
        <f>IF(Q69="","",IFERROR(Q69/VLOOKUP("USD",Setup!$A$38:$E$52,5,FALSE),""))</f>
        <v/>
      </c>
    </row>
    <row r="70" ht="24.0" customHeight="1">
      <c r="A70" s="78"/>
      <c r="B70" s="78"/>
      <c r="C70" s="97" t="str">
        <f t="array" ref="C70">IF(B70="","",IFERROR(INDEX(Applications!$C$6:$C$205,MATCH(B70,Applications!$A$6:$A$205,0)),""))</f>
        <v/>
      </c>
      <c r="D70" s="99"/>
      <c r="E70" s="99"/>
      <c r="F70" s="104"/>
      <c r="G70" s="99"/>
      <c r="H70" s="78"/>
      <c r="I70" s="65"/>
      <c r="J70" s="104"/>
      <c r="K70" s="99"/>
      <c r="L70" s="110" t="b">
        <v>0</v>
      </c>
      <c r="M70" s="78"/>
      <c r="N70" s="54" t="str">
        <f>IF(OR(F70="",G70=""),"",IFERROR(F70*VLOOKUP(G70,Setup!$A$38:$E$52,5,FALSE),""))</f>
        <v/>
      </c>
      <c r="O70" s="54" t="str">
        <f>IF(N70="","",IFERROR(N70/VLOOKUP("EUR",Setup!$A$38:$E$52,5,FALSE),""))</f>
        <v/>
      </c>
      <c r="P70" s="54" t="str">
        <f>IF(N70="","",IFERROR(N70/VLOOKUP("USD",Setup!$A$38:$E$52,5,FALSE),""))</f>
        <v/>
      </c>
      <c r="Q70" s="54" t="str">
        <f>IF(OR(J70="",K70=""),"",IFERROR(J70*VLOOKUP(K70,Setup!$A$38:$E$52,5,FALSE),""))</f>
        <v/>
      </c>
      <c r="R70" s="54" t="str">
        <f>IF(Q70="","",IFERROR(Q70/VLOOKUP("EUR",Setup!$A$38:$E$52,5,FALSE),""))</f>
        <v/>
      </c>
      <c r="S70" s="54" t="str">
        <f>IF(Q70="","",IFERROR(Q70/VLOOKUP("USD",Setup!$A$38:$E$52,5,FALSE),""))</f>
        <v/>
      </c>
    </row>
    <row r="71" ht="24.0" customHeight="1">
      <c r="A71" s="78"/>
      <c r="B71" s="78"/>
      <c r="C71" s="97" t="str">
        <f t="array" ref="C71">IF(B71="","",IFERROR(INDEX(Applications!$C$6:$C$205,MATCH(B71,Applications!$A$6:$A$205,0)),""))</f>
        <v/>
      </c>
      <c r="D71" s="99"/>
      <c r="E71" s="99"/>
      <c r="F71" s="104"/>
      <c r="G71" s="99"/>
      <c r="H71" s="78"/>
      <c r="I71" s="65"/>
      <c r="J71" s="104"/>
      <c r="K71" s="99"/>
      <c r="L71" s="110" t="b">
        <v>0</v>
      </c>
      <c r="M71" s="78"/>
      <c r="N71" s="54" t="str">
        <f>IF(OR(F71="",G71=""),"",IFERROR(F71*VLOOKUP(G71,Setup!$A$38:$E$52,5,FALSE),""))</f>
        <v/>
      </c>
      <c r="O71" s="54" t="str">
        <f>IF(N71="","",IFERROR(N71/VLOOKUP("EUR",Setup!$A$38:$E$52,5,FALSE),""))</f>
        <v/>
      </c>
      <c r="P71" s="54" t="str">
        <f>IF(N71="","",IFERROR(N71/VLOOKUP("USD",Setup!$A$38:$E$52,5,FALSE),""))</f>
        <v/>
      </c>
      <c r="Q71" s="54" t="str">
        <f>IF(OR(J71="",K71=""),"",IFERROR(J71*VLOOKUP(K71,Setup!$A$38:$E$52,5,FALSE),""))</f>
        <v/>
      </c>
      <c r="R71" s="54" t="str">
        <f>IF(Q71="","",IFERROR(Q71/VLOOKUP("EUR",Setup!$A$38:$E$52,5,FALSE),""))</f>
        <v/>
      </c>
      <c r="S71" s="54" t="str">
        <f>IF(Q71="","",IFERROR(Q71/VLOOKUP("USD",Setup!$A$38:$E$52,5,FALSE),""))</f>
        <v/>
      </c>
    </row>
    <row r="72" ht="24.0" customHeight="1">
      <c r="A72" s="78"/>
      <c r="B72" s="78"/>
      <c r="C72" s="97" t="str">
        <f t="array" ref="C72">IF(B72="","",IFERROR(INDEX(Applications!$C$6:$C$205,MATCH(B72,Applications!$A$6:$A$205,0)),""))</f>
        <v/>
      </c>
      <c r="D72" s="99"/>
      <c r="E72" s="99"/>
      <c r="F72" s="104"/>
      <c r="G72" s="99"/>
      <c r="H72" s="78"/>
      <c r="I72" s="65"/>
      <c r="J72" s="104"/>
      <c r="K72" s="99"/>
      <c r="L72" s="110" t="b">
        <v>0</v>
      </c>
      <c r="M72" s="78"/>
      <c r="N72" s="54" t="str">
        <f>IF(OR(F72="",G72=""),"",IFERROR(F72*VLOOKUP(G72,Setup!$A$38:$E$52,5,FALSE),""))</f>
        <v/>
      </c>
      <c r="O72" s="54" t="str">
        <f>IF(N72="","",IFERROR(N72/VLOOKUP("EUR",Setup!$A$38:$E$52,5,FALSE),""))</f>
        <v/>
      </c>
      <c r="P72" s="54" t="str">
        <f>IF(N72="","",IFERROR(N72/VLOOKUP("USD",Setup!$A$38:$E$52,5,FALSE),""))</f>
        <v/>
      </c>
      <c r="Q72" s="54" t="str">
        <f>IF(OR(J72="",K72=""),"",IFERROR(J72*VLOOKUP(K72,Setup!$A$38:$E$52,5,FALSE),""))</f>
        <v/>
      </c>
      <c r="R72" s="54" t="str">
        <f>IF(Q72="","",IFERROR(Q72/VLOOKUP("EUR",Setup!$A$38:$E$52,5,FALSE),""))</f>
        <v/>
      </c>
      <c r="S72" s="54" t="str">
        <f>IF(Q72="","",IFERROR(Q72/VLOOKUP("USD",Setup!$A$38:$E$52,5,FALSE),""))</f>
        <v/>
      </c>
    </row>
    <row r="73" ht="24.0" customHeight="1">
      <c r="A73" s="78"/>
      <c r="B73" s="78"/>
      <c r="C73" s="97" t="str">
        <f t="array" ref="C73">IF(B73="","",IFERROR(INDEX(Applications!$C$6:$C$205,MATCH(B73,Applications!$A$6:$A$205,0)),""))</f>
        <v/>
      </c>
      <c r="D73" s="99"/>
      <c r="E73" s="99"/>
      <c r="F73" s="104"/>
      <c r="G73" s="99"/>
      <c r="H73" s="78"/>
      <c r="I73" s="65"/>
      <c r="J73" s="104"/>
      <c r="K73" s="99"/>
      <c r="L73" s="110" t="b">
        <v>0</v>
      </c>
      <c r="M73" s="78"/>
      <c r="N73" s="54" t="str">
        <f>IF(OR(F73="",G73=""),"",IFERROR(F73*VLOOKUP(G73,Setup!$A$38:$E$52,5,FALSE),""))</f>
        <v/>
      </c>
      <c r="O73" s="54" t="str">
        <f>IF(N73="","",IFERROR(N73/VLOOKUP("EUR",Setup!$A$38:$E$52,5,FALSE),""))</f>
        <v/>
      </c>
      <c r="P73" s="54" t="str">
        <f>IF(N73="","",IFERROR(N73/VLOOKUP("USD",Setup!$A$38:$E$52,5,FALSE),""))</f>
        <v/>
      </c>
      <c r="Q73" s="54" t="str">
        <f>IF(OR(J73="",K73=""),"",IFERROR(J73*VLOOKUP(K73,Setup!$A$38:$E$52,5,FALSE),""))</f>
        <v/>
      </c>
      <c r="R73" s="54" t="str">
        <f>IF(Q73="","",IFERROR(Q73/VLOOKUP("EUR",Setup!$A$38:$E$52,5,FALSE),""))</f>
        <v/>
      </c>
      <c r="S73" s="54" t="str">
        <f>IF(Q73="","",IFERROR(Q73/VLOOKUP("USD",Setup!$A$38:$E$52,5,FALSE),""))</f>
        <v/>
      </c>
    </row>
    <row r="74" ht="24.0" customHeight="1">
      <c r="A74" s="78"/>
      <c r="B74" s="78"/>
      <c r="C74" s="97" t="str">
        <f t="array" ref="C74">IF(B74="","",IFERROR(INDEX(Applications!$C$6:$C$205,MATCH(B74,Applications!$A$6:$A$205,0)),""))</f>
        <v/>
      </c>
      <c r="D74" s="99"/>
      <c r="E74" s="99"/>
      <c r="F74" s="104"/>
      <c r="G74" s="99"/>
      <c r="H74" s="78"/>
      <c r="I74" s="65"/>
      <c r="J74" s="104"/>
      <c r="K74" s="99"/>
      <c r="L74" s="110" t="b">
        <v>0</v>
      </c>
      <c r="M74" s="78"/>
      <c r="N74" s="54" t="str">
        <f>IF(OR(F74="",G74=""),"",IFERROR(F74*VLOOKUP(G74,Setup!$A$38:$E$52,5,FALSE),""))</f>
        <v/>
      </c>
      <c r="O74" s="54" t="str">
        <f>IF(N74="","",IFERROR(N74/VLOOKUP("EUR",Setup!$A$38:$E$52,5,FALSE),""))</f>
        <v/>
      </c>
      <c r="P74" s="54" t="str">
        <f>IF(N74="","",IFERROR(N74/VLOOKUP("USD",Setup!$A$38:$E$52,5,FALSE),""))</f>
        <v/>
      </c>
      <c r="Q74" s="54" t="str">
        <f>IF(OR(J74="",K74=""),"",IFERROR(J74*VLOOKUP(K74,Setup!$A$38:$E$52,5,FALSE),""))</f>
        <v/>
      </c>
      <c r="R74" s="54" t="str">
        <f>IF(Q74="","",IFERROR(Q74/VLOOKUP("EUR",Setup!$A$38:$E$52,5,FALSE),""))</f>
        <v/>
      </c>
      <c r="S74" s="54" t="str">
        <f>IF(Q74="","",IFERROR(Q74/VLOOKUP("USD",Setup!$A$38:$E$52,5,FALSE),""))</f>
        <v/>
      </c>
    </row>
    <row r="75" ht="24.0" customHeight="1">
      <c r="A75" s="78"/>
      <c r="B75" s="78"/>
      <c r="C75" s="97" t="str">
        <f t="array" ref="C75">IF(B75="","",IFERROR(INDEX(Applications!$C$6:$C$205,MATCH(B75,Applications!$A$6:$A$205,0)),""))</f>
        <v/>
      </c>
      <c r="D75" s="99"/>
      <c r="E75" s="99"/>
      <c r="F75" s="104"/>
      <c r="G75" s="99"/>
      <c r="H75" s="78"/>
      <c r="I75" s="65"/>
      <c r="J75" s="104"/>
      <c r="K75" s="99"/>
      <c r="L75" s="110" t="b">
        <v>0</v>
      </c>
      <c r="M75" s="78"/>
      <c r="N75" s="54" t="str">
        <f>IF(OR(F75="",G75=""),"",IFERROR(F75*VLOOKUP(G75,Setup!$A$38:$E$52,5,FALSE),""))</f>
        <v/>
      </c>
      <c r="O75" s="54" t="str">
        <f>IF(N75="","",IFERROR(N75/VLOOKUP("EUR",Setup!$A$38:$E$52,5,FALSE),""))</f>
        <v/>
      </c>
      <c r="P75" s="54" t="str">
        <f>IF(N75="","",IFERROR(N75/VLOOKUP("USD",Setup!$A$38:$E$52,5,FALSE),""))</f>
        <v/>
      </c>
      <c r="Q75" s="54" t="str">
        <f>IF(OR(J75="",K75=""),"",IFERROR(J75*VLOOKUP(K75,Setup!$A$38:$E$52,5,FALSE),""))</f>
        <v/>
      </c>
      <c r="R75" s="54" t="str">
        <f>IF(Q75="","",IFERROR(Q75/VLOOKUP("EUR",Setup!$A$38:$E$52,5,FALSE),""))</f>
        <v/>
      </c>
      <c r="S75" s="54" t="str">
        <f>IF(Q75="","",IFERROR(Q75/VLOOKUP("USD",Setup!$A$38:$E$52,5,FALSE),""))</f>
        <v/>
      </c>
    </row>
    <row r="76" ht="24.0" customHeight="1">
      <c r="A76" s="78"/>
      <c r="B76" s="78"/>
      <c r="C76" s="97" t="str">
        <f t="array" ref="C76">IF(B76="","",IFERROR(INDEX(Applications!$C$6:$C$205,MATCH(B76,Applications!$A$6:$A$205,0)),""))</f>
        <v/>
      </c>
      <c r="D76" s="99"/>
      <c r="E76" s="99"/>
      <c r="F76" s="104"/>
      <c r="G76" s="99"/>
      <c r="H76" s="78"/>
      <c r="I76" s="65"/>
      <c r="J76" s="104"/>
      <c r="K76" s="99"/>
      <c r="L76" s="110" t="b">
        <v>0</v>
      </c>
      <c r="M76" s="78"/>
      <c r="N76" s="54" t="str">
        <f>IF(OR(F76="",G76=""),"",IFERROR(F76*VLOOKUP(G76,Setup!$A$38:$E$52,5,FALSE),""))</f>
        <v/>
      </c>
      <c r="O76" s="54" t="str">
        <f>IF(N76="","",IFERROR(N76/VLOOKUP("EUR",Setup!$A$38:$E$52,5,FALSE),""))</f>
        <v/>
      </c>
      <c r="P76" s="54" t="str">
        <f>IF(N76="","",IFERROR(N76/VLOOKUP("USD",Setup!$A$38:$E$52,5,FALSE),""))</f>
        <v/>
      </c>
      <c r="Q76" s="54" t="str">
        <f>IF(OR(J76="",K76=""),"",IFERROR(J76*VLOOKUP(K76,Setup!$A$38:$E$52,5,FALSE),""))</f>
        <v/>
      </c>
      <c r="R76" s="54" t="str">
        <f>IF(Q76="","",IFERROR(Q76/VLOOKUP("EUR",Setup!$A$38:$E$52,5,FALSE),""))</f>
        <v/>
      </c>
      <c r="S76" s="54" t="str">
        <f>IF(Q76="","",IFERROR(Q76/VLOOKUP("USD",Setup!$A$38:$E$52,5,FALSE),""))</f>
        <v/>
      </c>
    </row>
    <row r="77" ht="24.0" customHeight="1">
      <c r="A77" s="78"/>
      <c r="B77" s="78"/>
      <c r="C77" s="97" t="str">
        <f t="array" ref="C77">IF(B77="","",IFERROR(INDEX(Applications!$C$6:$C$205,MATCH(B77,Applications!$A$6:$A$205,0)),""))</f>
        <v/>
      </c>
      <c r="D77" s="99"/>
      <c r="E77" s="99"/>
      <c r="F77" s="104"/>
      <c r="G77" s="99"/>
      <c r="H77" s="78"/>
      <c r="I77" s="65"/>
      <c r="J77" s="104"/>
      <c r="K77" s="99"/>
      <c r="L77" s="110" t="b">
        <v>0</v>
      </c>
      <c r="M77" s="78"/>
      <c r="N77" s="54" t="str">
        <f>IF(OR(F77="",G77=""),"",IFERROR(F77*VLOOKUP(G77,Setup!$A$38:$E$52,5,FALSE),""))</f>
        <v/>
      </c>
      <c r="O77" s="54" t="str">
        <f>IF(N77="","",IFERROR(N77/VLOOKUP("EUR",Setup!$A$38:$E$52,5,FALSE),""))</f>
        <v/>
      </c>
      <c r="P77" s="54" t="str">
        <f>IF(N77="","",IFERROR(N77/VLOOKUP("USD",Setup!$A$38:$E$52,5,FALSE),""))</f>
        <v/>
      </c>
      <c r="Q77" s="54" t="str">
        <f>IF(OR(J77="",K77=""),"",IFERROR(J77*VLOOKUP(K77,Setup!$A$38:$E$52,5,FALSE),""))</f>
        <v/>
      </c>
      <c r="R77" s="54" t="str">
        <f>IF(Q77="","",IFERROR(Q77/VLOOKUP("EUR",Setup!$A$38:$E$52,5,FALSE),""))</f>
        <v/>
      </c>
      <c r="S77" s="54" t="str">
        <f>IF(Q77="","",IFERROR(Q77/VLOOKUP("USD",Setup!$A$38:$E$52,5,FALSE),""))</f>
        <v/>
      </c>
    </row>
    <row r="78" ht="24.0" customHeight="1">
      <c r="A78" s="78"/>
      <c r="B78" s="78"/>
      <c r="C78" s="97" t="str">
        <f t="array" ref="C78">IF(B78="","",IFERROR(INDEX(Applications!$C$6:$C$205,MATCH(B78,Applications!$A$6:$A$205,0)),""))</f>
        <v/>
      </c>
      <c r="D78" s="99"/>
      <c r="E78" s="99"/>
      <c r="F78" s="104"/>
      <c r="G78" s="99"/>
      <c r="H78" s="78"/>
      <c r="I78" s="65"/>
      <c r="J78" s="104"/>
      <c r="K78" s="99"/>
      <c r="L78" s="110" t="b">
        <v>0</v>
      </c>
      <c r="M78" s="78"/>
      <c r="N78" s="54" t="str">
        <f>IF(OR(F78="",G78=""),"",IFERROR(F78*VLOOKUP(G78,Setup!$A$38:$E$52,5,FALSE),""))</f>
        <v/>
      </c>
      <c r="O78" s="54" t="str">
        <f>IF(N78="","",IFERROR(N78/VLOOKUP("EUR",Setup!$A$38:$E$52,5,FALSE),""))</f>
        <v/>
      </c>
      <c r="P78" s="54" t="str">
        <f>IF(N78="","",IFERROR(N78/VLOOKUP("USD",Setup!$A$38:$E$52,5,FALSE),""))</f>
        <v/>
      </c>
      <c r="Q78" s="54" t="str">
        <f>IF(OR(J78="",K78=""),"",IFERROR(J78*VLOOKUP(K78,Setup!$A$38:$E$52,5,FALSE),""))</f>
        <v/>
      </c>
      <c r="R78" s="54" t="str">
        <f>IF(Q78="","",IFERROR(Q78/VLOOKUP("EUR",Setup!$A$38:$E$52,5,FALSE),""))</f>
        <v/>
      </c>
      <c r="S78" s="54" t="str">
        <f>IF(Q78="","",IFERROR(Q78/VLOOKUP("USD",Setup!$A$38:$E$52,5,FALSE),""))</f>
        <v/>
      </c>
    </row>
    <row r="79" ht="24.0" customHeight="1">
      <c r="A79" s="78"/>
      <c r="B79" s="78"/>
      <c r="C79" s="97" t="str">
        <f t="array" ref="C79">IF(B79="","",IFERROR(INDEX(Applications!$C$6:$C$205,MATCH(B79,Applications!$A$6:$A$205,0)),""))</f>
        <v/>
      </c>
      <c r="D79" s="99"/>
      <c r="E79" s="99"/>
      <c r="F79" s="104"/>
      <c r="G79" s="99"/>
      <c r="H79" s="78"/>
      <c r="I79" s="65"/>
      <c r="J79" s="104"/>
      <c r="K79" s="99"/>
      <c r="L79" s="110" t="b">
        <v>0</v>
      </c>
      <c r="M79" s="78"/>
      <c r="N79" s="54" t="str">
        <f>IF(OR(F79="",G79=""),"",IFERROR(F79*VLOOKUP(G79,Setup!$A$38:$E$52,5,FALSE),""))</f>
        <v/>
      </c>
      <c r="O79" s="54" t="str">
        <f>IF(N79="","",IFERROR(N79/VLOOKUP("EUR",Setup!$A$38:$E$52,5,FALSE),""))</f>
        <v/>
      </c>
      <c r="P79" s="54" t="str">
        <f>IF(N79="","",IFERROR(N79/VLOOKUP("USD",Setup!$A$38:$E$52,5,FALSE),""))</f>
        <v/>
      </c>
      <c r="Q79" s="54" t="str">
        <f>IF(OR(J79="",K79=""),"",IFERROR(J79*VLOOKUP(K79,Setup!$A$38:$E$52,5,FALSE),""))</f>
        <v/>
      </c>
      <c r="R79" s="54" t="str">
        <f>IF(Q79="","",IFERROR(Q79/VLOOKUP("EUR",Setup!$A$38:$E$52,5,FALSE),""))</f>
        <v/>
      </c>
      <c r="S79" s="54" t="str">
        <f>IF(Q79="","",IFERROR(Q79/VLOOKUP("USD",Setup!$A$38:$E$52,5,FALSE),""))</f>
        <v/>
      </c>
    </row>
    <row r="80" ht="24.0" customHeight="1">
      <c r="A80" s="78"/>
      <c r="B80" s="78"/>
      <c r="C80" s="97" t="str">
        <f t="array" ref="C80">IF(B80="","",IFERROR(INDEX(Applications!$C$6:$C$205,MATCH(B80,Applications!$A$6:$A$205,0)),""))</f>
        <v/>
      </c>
      <c r="D80" s="99"/>
      <c r="E80" s="99"/>
      <c r="F80" s="104"/>
      <c r="G80" s="99"/>
      <c r="H80" s="78"/>
      <c r="I80" s="65"/>
      <c r="J80" s="104"/>
      <c r="K80" s="99"/>
      <c r="L80" s="110" t="b">
        <v>0</v>
      </c>
      <c r="M80" s="78"/>
      <c r="N80" s="54" t="str">
        <f>IF(OR(F80="",G80=""),"",IFERROR(F80*VLOOKUP(G80,Setup!$A$38:$E$52,5,FALSE),""))</f>
        <v/>
      </c>
      <c r="O80" s="54" t="str">
        <f>IF(N80="","",IFERROR(N80/VLOOKUP("EUR",Setup!$A$38:$E$52,5,FALSE),""))</f>
        <v/>
      </c>
      <c r="P80" s="54" t="str">
        <f>IF(N80="","",IFERROR(N80/VLOOKUP("USD",Setup!$A$38:$E$52,5,FALSE),""))</f>
        <v/>
      </c>
      <c r="Q80" s="54" t="str">
        <f>IF(OR(J80="",K80=""),"",IFERROR(J80*VLOOKUP(K80,Setup!$A$38:$E$52,5,FALSE),""))</f>
        <v/>
      </c>
      <c r="R80" s="54" t="str">
        <f>IF(Q80="","",IFERROR(Q80/VLOOKUP("EUR",Setup!$A$38:$E$52,5,FALSE),""))</f>
        <v/>
      </c>
      <c r="S80" s="54" t="str">
        <f>IF(Q80="","",IFERROR(Q80/VLOOKUP("USD",Setup!$A$38:$E$52,5,FALSE),""))</f>
        <v/>
      </c>
    </row>
    <row r="81" ht="24.0" customHeight="1">
      <c r="A81" s="78"/>
      <c r="B81" s="78"/>
      <c r="C81" s="97" t="str">
        <f t="array" ref="C81">IF(B81="","",IFERROR(INDEX(Applications!$C$6:$C$205,MATCH(B81,Applications!$A$6:$A$205,0)),""))</f>
        <v/>
      </c>
      <c r="D81" s="99"/>
      <c r="E81" s="99"/>
      <c r="F81" s="104"/>
      <c r="G81" s="99"/>
      <c r="H81" s="78"/>
      <c r="I81" s="65"/>
      <c r="J81" s="104"/>
      <c r="K81" s="99"/>
      <c r="L81" s="110" t="b">
        <v>0</v>
      </c>
      <c r="M81" s="78"/>
      <c r="N81" s="54" t="str">
        <f>IF(OR(F81="",G81=""),"",IFERROR(F81*VLOOKUP(G81,Setup!$A$38:$E$52,5,FALSE),""))</f>
        <v/>
      </c>
      <c r="O81" s="54" t="str">
        <f>IF(N81="","",IFERROR(N81/VLOOKUP("EUR",Setup!$A$38:$E$52,5,FALSE),""))</f>
        <v/>
      </c>
      <c r="P81" s="54" t="str">
        <f>IF(N81="","",IFERROR(N81/VLOOKUP("USD",Setup!$A$38:$E$52,5,FALSE),""))</f>
        <v/>
      </c>
      <c r="Q81" s="54" t="str">
        <f>IF(OR(J81="",K81=""),"",IFERROR(J81*VLOOKUP(K81,Setup!$A$38:$E$52,5,FALSE),""))</f>
        <v/>
      </c>
      <c r="R81" s="54" t="str">
        <f>IF(Q81="","",IFERROR(Q81/VLOOKUP("EUR",Setup!$A$38:$E$52,5,FALSE),""))</f>
        <v/>
      </c>
      <c r="S81" s="54" t="str">
        <f>IF(Q81="","",IFERROR(Q81/VLOOKUP("USD",Setup!$A$38:$E$52,5,FALSE),""))</f>
        <v/>
      </c>
    </row>
    <row r="82" ht="24.0" customHeight="1">
      <c r="A82" s="78"/>
      <c r="B82" s="78"/>
      <c r="C82" s="97" t="str">
        <f t="array" ref="C82">IF(B82="","",IFERROR(INDEX(Applications!$C$6:$C$205,MATCH(B82,Applications!$A$6:$A$205,0)),""))</f>
        <v/>
      </c>
      <c r="D82" s="99"/>
      <c r="E82" s="99"/>
      <c r="F82" s="104"/>
      <c r="G82" s="99"/>
      <c r="H82" s="78"/>
      <c r="I82" s="65"/>
      <c r="J82" s="104"/>
      <c r="K82" s="99"/>
      <c r="L82" s="110" t="b">
        <v>0</v>
      </c>
      <c r="M82" s="78"/>
      <c r="N82" s="54" t="str">
        <f>IF(OR(F82="",G82=""),"",IFERROR(F82*VLOOKUP(G82,Setup!$A$38:$E$52,5,FALSE),""))</f>
        <v/>
      </c>
      <c r="O82" s="54" t="str">
        <f>IF(N82="","",IFERROR(N82/VLOOKUP("EUR",Setup!$A$38:$E$52,5,FALSE),""))</f>
        <v/>
      </c>
      <c r="P82" s="54" t="str">
        <f>IF(N82="","",IFERROR(N82/VLOOKUP("USD",Setup!$A$38:$E$52,5,FALSE),""))</f>
        <v/>
      </c>
      <c r="Q82" s="54" t="str">
        <f>IF(OR(J82="",K82=""),"",IFERROR(J82*VLOOKUP(K82,Setup!$A$38:$E$52,5,FALSE),""))</f>
        <v/>
      </c>
      <c r="R82" s="54" t="str">
        <f>IF(Q82="","",IFERROR(Q82/VLOOKUP("EUR",Setup!$A$38:$E$52,5,FALSE),""))</f>
        <v/>
      </c>
      <c r="S82" s="54" t="str">
        <f>IF(Q82="","",IFERROR(Q82/VLOOKUP("USD",Setup!$A$38:$E$52,5,FALSE),""))</f>
        <v/>
      </c>
    </row>
    <row r="83" ht="24.0" customHeight="1">
      <c r="A83" s="78"/>
      <c r="B83" s="78"/>
      <c r="C83" s="97" t="str">
        <f t="array" ref="C83">IF(B83="","",IFERROR(INDEX(Applications!$C$6:$C$205,MATCH(B83,Applications!$A$6:$A$205,0)),""))</f>
        <v/>
      </c>
      <c r="D83" s="99"/>
      <c r="E83" s="99"/>
      <c r="F83" s="104"/>
      <c r="G83" s="99"/>
      <c r="H83" s="78"/>
      <c r="I83" s="65"/>
      <c r="J83" s="104"/>
      <c r="K83" s="99"/>
      <c r="L83" s="110" t="b">
        <v>0</v>
      </c>
      <c r="M83" s="78"/>
      <c r="N83" s="54" t="str">
        <f>IF(OR(F83="",G83=""),"",IFERROR(F83*VLOOKUP(G83,Setup!$A$38:$E$52,5,FALSE),""))</f>
        <v/>
      </c>
      <c r="O83" s="54" t="str">
        <f>IF(N83="","",IFERROR(N83/VLOOKUP("EUR",Setup!$A$38:$E$52,5,FALSE),""))</f>
        <v/>
      </c>
      <c r="P83" s="54" t="str">
        <f>IF(N83="","",IFERROR(N83/VLOOKUP("USD",Setup!$A$38:$E$52,5,FALSE),""))</f>
        <v/>
      </c>
      <c r="Q83" s="54" t="str">
        <f>IF(OR(J83="",K83=""),"",IFERROR(J83*VLOOKUP(K83,Setup!$A$38:$E$52,5,FALSE),""))</f>
        <v/>
      </c>
      <c r="R83" s="54" t="str">
        <f>IF(Q83="","",IFERROR(Q83/VLOOKUP("EUR",Setup!$A$38:$E$52,5,FALSE),""))</f>
        <v/>
      </c>
      <c r="S83" s="54" t="str">
        <f>IF(Q83="","",IFERROR(Q83/VLOOKUP("USD",Setup!$A$38:$E$52,5,FALSE),""))</f>
        <v/>
      </c>
    </row>
    <row r="84" ht="24.0" customHeight="1">
      <c r="A84" s="78"/>
      <c r="B84" s="78"/>
      <c r="C84" s="97" t="str">
        <f t="array" ref="C84">IF(B84="","",IFERROR(INDEX(Applications!$C$6:$C$205,MATCH(B84,Applications!$A$6:$A$205,0)),""))</f>
        <v/>
      </c>
      <c r="D84" s="99"/>
      <c r="E84" s="99"/>
      <c r="F84" s="104"/>
      <c r="G84" s="99"/>
      <c r="H84" s="78"/>
      <c r="I84" s="65"/>
      <c r="J84" s="104"/>
      <c r="K84" s="99"/>
      <c r="L84" s="110" t="b">
        <v>0</v>
      </c>
      <c r="M84" s="78"/>
      <c r="N84" s="54" t="str">
        <f>IF(OR(F84="",G84=""),"",IFERROR(F84*VLOOKUP(G84,Setup!$A$38:$E$52,5,FALSE),""))</f>
        <v/>
      </c>
      <c r="O84" s="54" t="str">
        <f>IF(N84="","",IFERROR(N84/VLOOKUP("EUR",Setup!$A$38:$E$52,5,FALSE),""))</f>
        <v/>
      </c>
      <c r="P84" s="54" t="str">
        <f>IF(N84="","",IFERROR(N84/VLOOKUP("USD",Setup!$A$38:$E$52,5,FALSE),""))</f>
        <v/>
      </c>
      <c r="Q84" s="54" t="str">
        <f>IF(OR(J84="",K84=""),"",IFERROR(J84*VLOOKUP(K84,Setup!$A$38:$E$52,5,FALSE),""))</f>
        <v/>
      </c>
      <c r="R84" s="54" t="str">
        <f>IF(Q84="","",IFERROR(Q84/VLOOKUP("EUR",Setup!$A$38:$E$52,5,FALSE),""))</f>
        <v/>
      </c>
      <c r="S84" s="54" t="str">
        <f>IF(Q84="","",IFERROR(Q84/VLOOKUP("USD",Setup!$A$38:$E$52,5,FALSE),""))</f>
        <v/>
      </c>
    </row>
    <row r="85" ht="24.0" customHeight="1">
      <c r="A85" s="78"/>
      <c r="B85" s="78"/>
      <c r="C85" s="97" t="str">
        <f t="array" ref="C85">IF(B85="","",IFERROR(INDEX(Applications!$C$6:$C$205,MATCH(B85,Applications!$A$6:$A$205,0)),""))</f>
        <v/>
      </c>
      <c r="D85" s="99"/>
      <c r="E85" s="99"/>
      <c r="F85" s="104"/>
      <c r="G85" s="99"/>
      <c r="H85" s="78"/>
      <c r="I85" s="65"/>
      <c r="J85" s="104"/>
      <c r="K85" s="99"/>
      <c r="L85" s="110" t="b">
        <v>0</v>
      </c>
      <c r="M85" s="78"/>
      <c r="N85" s="54" t="str">
        <f>IF(OR(F85="",G85=""),"",IFERROR(F85*VLOOKUP(G85,Setup!$A$38:$E$52,5,FALSE),""))</f>
        <v/>
      </c>
      <c r="O85" s="54" t="str">
        <f>IF(N85="","",IFERROR(N85/VLOOKUP("EUR",Setup!$A$38:$E$52,5,FALSE),""))</f>
        <v/>
      </c>
      <c r="P85" s="54" t="str">
        <f>IF(N85="","",IFERROR(N85/VLOOKUP("USD",Setup!$A$38:$E$52,5,FALSE),""))</f>
        <v/>
      </c>
      <c r="Q85" s="54" t="str">
        <f>IF(OR(J85="",K85=""),"",IFERROR(J85*VLOOKUP(K85,Setup!$A$38:$E$52,5,FALSE),""))</f>
        <v/>
      </c>
      <c r="R85" s="54" t="str">
        <f>IF(Q85="","",IFERROR(Q85/VLOOKUP("EUR",Setup!$A$38:$E$52,5,FALSE),""))</f>
        <v/>
      </c>
      <c r="S85" s="54" t="str">
        <f>IF(Q85="","",IFERROR(Q85/VLOOKUP("USD",Setup!$A$38:$E$52,5,FALSE),""))</f>
        <v/>
      </c>
    </row>
    <row r="86" ht="24.0" customHeight="1">
      <c r="A86" s="78"/>
      <c r="B86" s="78"/>
      <c r="C86" s="97" t="str">
        <f t="array" ref="C86">IF(B86="","",IFERROR(INDEX(Applications!$C$6:$C$205,MATCH(B86,Applications!$A$6:$A$205,0)),""))</f>
        <v/>
      </c>
      <c r="D86" s="99"/>
      <c r="E86" s="99"/>
      <c r="F86" s="104"/>
      <c r="G86" s="99"/>
      <c r="H86" s="78"/>
      <c r="I86" s="65"/>
      <c r="J86" s="104"/>
      <c r="K86" s="99"/>
      <c r="L86" s="110" t="b">
        <v>0</v>
      </c>
      <c r="M86" s="78"/>
      <c r="N86" s="54" t="str">
        <f>IF(OR(F86="",G86=""),"",IFERROR(F86*VLOOKUP(G86,Setup!$A$38:$E$52,5,FALSE),""))</f>
        <v/>
      </c>
      <c r="O86" s="54" t="str">
        <f>IF(N86="","",IFERROR(N86/VLOOKUP("EUR",Setup!$A$38:$E$52,5,FALSE),""))</f>
        <v/>
      </c>
      <c r="P86" s="54" t="str">
        <f>IF(N86="","",IFERROR(N86/VLOOKUP("USD",Setup!$A$38:$E$52,5,FALSE),""))</f>
        <v/>
      </c>
      <c r="Q86" s="54" t="str">
        <f>IF(OR(J86="",K86=""),"",IFERROR(J86*VLOOKUP(K86,Setup!$A$38:$E$52,5,FALSE),""))</f>
        <v/>
      </c>
      <c r="R86" s="54" t="str">
        <f>IF(Q86="","",IFERROR(Q86/VLOOKUP("EUR",Setup!$A$38:$E$52,5,FALSE),""))</f>
        <v/>
      </c>
      <c r="S86" s="54" t="str">
        <f>IF(Q86="","",IFERROR(Q86/VLOOKUP("USD",Setup!$A$38:$E$52,5,FALSE),""))</f>
        <v/>
      </c>
    </row>
    <row r="87" ht="24.0" customHeight="1">
      <c r="A87" s="78"/>
      <c r="B87" s="78"/>
      <c r="C87" s="97" t="str">
        <f t="array" ref="C87">IF(B87="","",IFERROR(INDEX(Applications!$C$6:$C$205,MATCH(B87,Applications!$A$6:$A$205,0)),""))</f>
        <v/>
      </c>
      <c r="D87" s="99"/>
      <c r="E87" s="99"/>
      <c r="F87" s="104"/>
      <c r="G87" s="99"/>
      <c r="H87" s="78"/>
      <c r="I87" s="65"/>
      <c r="J87" s="104"/>
      <c r="K87" s="99"/>
      <c r="L87" s="110" t="b">
        <v>0</v>
      </c>
      <c r="M87" s="78"/>
      <c r="N87" s="54" t="str">
        <f>IF(OR(F87="",G87=""),"",IFERROR(F87*VLOOKUP(G87,Setup!$A$38:$E$52,5,FALSE),""))</f>
        <v/>
      </c>
      <c r="O87" s="54" t="str">
        <f>IF(N87="","",IFERROR(N87/VLOOKUP("EUR",Setup!$A$38:$E$52,5,FALSE),""))</f>
        <v/>
      </c>
      <c r="P87" s="54" t="str">
        <f>IF(N87="","",IFERROR(N87/VLOOKUP("USD",Setup!$A$38:$E$52,5,FALSE),""))</f>
        <v/>
      </c>
      <c r="Q87" s="54" t="str">
        <f>IF(OR(J87="",K87=""),"",IFERROR(J87*VLOOKUP(K87,Setup!$A$38:$E$52,5,FALSE),""))</f>
        <v/>
      </c>
      <c r="R87" s="54" t="str">
        <f>IF(Q87="","",IFERROR(Q87/VLOOKUP("EUR",Setup!$A$38:$E$52,5,FALSE),""))</f>
        <v/>
      </c>
      <c r="S87" s="54" t="str">
        <f>IF(Q87="","",IFERROR(Q87/VLOOKUP("USD",Setup!$A$38:$E$52,5,FALSE),""))</f>
        <v/>
      </c>
    </row>
    <row r="88" ht="24.0" customHeight="1">
      <c r="A88" s="78"/>
      <c r="B88" s="78"/>
      <c r="C88" s="97" t="str">
        <f t="array" ref="C88">IF(B88="","",IFERROR(INDEX(Applications!$C$6:$C$205,MATCH(B88,Applications!$A$6:$A$205,0)),""))</f>
        <v/>
      </c>
      <c r="D88" s="99"/>
      <c r="E88" s="99"/>
      <c r="F88" s="104"/>
      <c r="G88" s="99"/>
      <c r="H88" s="78"/>
      <c r="I88" s="65"/>
      <c r="J88" s="104"/>
      <c r="K88" s="99"/>
      <c r="L88" s="110" t="b">
        <v>0</v>
      </c>
      <c r="M88" s="78"/>
      <c r="N88" s="54" t="str">
        <f>IF(OR(F88="",G88=""),"",IFERROR(F88*VLOOKUP(G88,Setup!$A$38:$E$52,5,FALSE),""))</f>
        <v/>
      </c>
      <c r="O88" s="54" t="str">
        <f>IF(N88="","",IFERROR(N88/VLOOKUP("EUR",Setup!$A$38:$E$52,5,FALSE),""))</f>
        <v/>
      </c>
      <c r="P88" s="54" t="str">
        <f>IF(N88="","",IFERROR(N88/VLOOKUP("USD",Setup!$A$38:$E$52,5,FALSE),""))</f>
        <v/>
      </c>
      <c r="Q88" s="54" t="str">
        <f>IF(OR(J88="",K88=""),"",IFERROR(J88*VLOOKUP(K88,Setup!$A$38:$E$52,5,FALSE),""))</f>
        <v/>
      </c>
      <c r="R88" s="54" t="str">
        <f>IF(Q88="","",IFERROR(Q88/VLOOKUP("EUR",Setup!$A$38:$E$52,5,FALSE),""))</f>
        <v/>
      </c>
      <c r="S88" s="54" t="str">
        <f>IF(Q88="","",IFERROR(Q88/VLOOKUP("USD",Setup!$A$38:$E$52,5,FALSE),""))</f>
        <v/>
      </c>
    </row>
    <row r="89" ht="24.0" customHeight="1">
      <c r="A89" s="78"/>
      <c r="B89" s="78"/>
      <c r="C89" s="97" t="str">
        <f t="array" ref="C89">IF(B89="","",IFERROR(INDEX(Applications!$C$6:$C$205,MATCH(B89,Applications!$A$6:$A$205,0)),""))</f>
        <v/>
      </c>
      <c r="D89" s="99"/>
      <c r="E89" s="99"/>
      <c r="F89" s="104"/>
      <c r="G89" s="99"/>
      <c r="H89" s="78"/>
      <c r="I89" s="65"/>
      <c r="J89" s="104"/>
      <c r="K89" s="99"/>
      <c r="L89" s="110" t="b">
        <v>0</v>
      </c>
      <c r="M89" s="78"/>
      <c r="N89" s="54" t="str">
        <f>IF(OR(F89="",G89=""),"",IFERROR(F89*VLOOKUP(G89,Setup!$A$38:$E$52,5,FALSE),""))</f>
        <v/>
      </c>
      <c r="O89" s="54" t="str">
        <f>IF(N89="","",IFERROR(N89/VLOOKUP("EUR",Setup!$A$38:$E$52,5,FALSE),""))</f>
        <v/>
      </c>
      <c r="P89" s="54" t="str">
        <f>IF(N89="","",IFERROR(N89/VLOOKUP("USD",Setup!$A$38:$E$52,5,FALSE),""))</f>
        <v/>
      </c>
      <c r="Q89" s="54" t="str">
        <f>IF(OR(J89="",K89=""),"",IFERROR(J89*VLOOKUP(K89,Setup!$A$38:$E$52,5,FALSE),""))</f>
        <v/>
      </c>
      <c r="R89" s="54" t="str">
        <f>IF(Q89="","",IFERROR(Q89/VLOOKUP("EUR",Setup!$A$38:$E$52,5,FALSE),""))</f>
        <v/>
      </c>
      <c r="S89" s="54" t="str">
        <f>IF(Q89="","",IFERROR(Q89/VLOOKUP("USD",Setup!$A$38:$E$52,5,FALSE),""))</f>
        <v/>
      </c>
    </row>
    <row r="90" ht="24.0" customHeight="1">
      <c r="A90" s="78"/>
      <c r="B90" s="78"/>
      <c r="C90" s="97" t="str">
        <f t="array" ref="C90">IF(B90="","",IFERROR(INDEX(Applications!$C$6:$C$205,MATCH(B90,Applications!$A$6:$A$205,0)),""))</f>
        <v/>
      </c>
      <c r="D90" s="99"/>
      <c r="E90" s="99"/>
      <c r="F90" s="104"/>
      <c r="G90" s="99"/>
      <c r="H90" s="78"/>
      <c r="I90" s="65"/>
      <c r="J90" s="104"/>
      <c r="K90" s="99"/>
      <c r="L90" s="110" t="b">
        <v>0</v>
      </c>
      <c r="M90" s="78"/>
      <c r="N90" s="54" t="str">
        <f>IF(OR(F90="",G90=""),"",IFERROR(F90*VLOOKUP(G90,Setup!$A$38:$E$52,5,FALSE),""))</f>
        <v/>
      </c>
      <c r="O90" s="54" t="str">
        <f>IF(N90="","",IFERROR(N90/VLOOKUP("EUR",Setup!$A$38:$E$52,5,FALSE),""))</f>
        <v/>
      </c>
      <c r="P90" s="54" t="str">
        <f>IF(N90="","",IFERROR(N90/VLOOKUP("USD",Setup!$A$38:$E$52,5,FALSE),""))</f>
        <v/>
      </c>
      <c r="Q90" s="54" t="str">
        <f>IF(OR(J90="",K90=""),"",IFERROR(J90*VLOOKUP(K90,Setup!$A$38:$E$52,5,FALSE),""))</f>
        <v/>
      </c>
      <c r="R90" s="54" t="str">
        <f>IF(Q90="","",IFERROR(Q90/VLOOKUP("EUR",Setup!$A$38:$E$52,5,FALSE),""))</f>
        <v/>
      </c>
      <c r="S90" s="54" t="str">
        <f>IF(Q90="","",IFERROR(Q90/VLOOKUP("USD",Setup!$A$38:$E$52,5,FALSE),""))</f>
        <v/>
      </c>
    </row>
    <row r="91" ht="24.0" customHeight="1">
      <c r="A91" s="78"/>
      <c r="B91" s="78"/>
      <c r="C91" s="97" t="str">
        <f t="array" ref="C91">IF(B91="","",IFERROR(INDEX(Applications!$C$6:$C$205,MATCH(B91,Applications!$A$6:$A$205,0)),""))</f>
        <v/>
      </c>
      <c r="D91" s="99"/>
      <c r="E91" s="99"/>
      <c r="F91" s="104"/>
      <c r="G91" s="99"/>
      <c r="H91" s="78"/>
      <c r="I91" s="65"/>
      <c r="J91" s="104"/>
      <c r="K91" s="99"/>
      <c r="L91" s="110" t="b">
        <v>0</v>
      </c>
      <c r="M91" s="78"/>
      <c r="N91" s="54" t="str">
        <f>IF(OR(F91="",G91=""),"",IFERROR(F91*VLOOKUP(G91,Setup!$A$38:$E$52,5,FALSE),""))</f>
        <v/>
      </c>
      <c r="O91" s="54" t="str">
        <f>IF(N91="","",IFERROR(N91/VLOOKUP("EUR",Setup!$A$38:$E$52,5,FALSE),""))</f>
        <v/>
      </c>
      <c r="P91" s="54" t="str">
        <f>IF(N91="","",IFERROR(N91/VLOOKUP("USD",Setup!$A$38:$E$52,5,FALSE),""))</f>
        <v/>
      </c>
      <c r="Q91" s="54" t="str">
        <f>IF(OR(J91="",K91=""),"",IFERROR(J91*VLOOKUP(K91,Setup!$A$38:$E$52,5,FALSE),""))</f>
        <v/>
      </c>
      <c r="R91" s="54" t="str">
        <f>IF(Q91="","",IFERROR(Q91/VLOOKUP("EUR",Setup!$A$38:$E$52,5,FALSE),""))</f>
        <v/>
      </c>
      <c r="S91" s="54" t="str">
        <f>IF(Q91="","",IFERROR(Q91/VLOOKUP("USD",Setup!$A$38:$E$52,5,FALSE),""))</f>
        <v/>
      </c>
    </row>
    <row r="92" ht="24.0" customHeight="1">
      <c r="A92" s="78"/>
      <c r="B92" s="78"/>
      <c r="C92" s="97" t="str">
        <f t="array" ref="C92">IF(B92="","",IFERROR(INDEX(Applications!$C$6:$C$205,MATCH(B92,Applications!$A$6:$A$205,0)),""))</f>
        <v/>
      </c>
      <c r="D92" s="99"/>
      <c r="E92" s="99"/>
      <c r="F92" s="104"/>
      <c r="G92" s="99"/>
      <c r="H92" s="78"/>
      <c r="I92" s="65"/>
      <c r="J92" s="104"/>
      <c r="K92" s="99"/>
      <c r="L92" s="110" t="b">
        <v>0</v>
      </c>
      <c r="M92" s="78"/>
      <c r="N92" s="54" t="str">
        <f>IF(OR(F92="",G92=""),"",IFERROR(F92*VLOOKUP(G92,Setup!$A$38:$E$52,5,FALSE),""))</f>
        <v/>
      </c>
      <c r="O92" s="54" t="str">
        <f>IF(N92="","",IFERROR(N92/VLOOKUP("EUR",Setup!$A$38:$E$52,5,FALSE),""))</f>
        <v/>
      </c>
      <c r="P92" s="54" t="str">
        <f>IF(N92="","",IFERROR(N92/VLOOKUP("USD",Setup!$A$38:$E$52,5,FALSE),""))</f>
        <v/>
      </c>
      <c r="Q92" s="54" t="str">
        <f>IF(OR(J92="",K92=""),"",IFERROR(J92*VLOOKUP(K92,Setup!$A$38:$E$52,5,FALSE),""))</f>
        <v/>
      </c>
      <c r="R92" s="54" t="str">
        <f>IF(Q92="","",IFERROR(Q92/VLOOKUP("EUR",Setup!$A$38:$E$52,5,FALSE),""))</f>
        <v/>
      </c>
      <c r="S92" s="54" t="str">
        <f>IF(Q92="","",IFERROR(Q92/VLOOKUP("USD",Setup!$A$38:$E$52,5,FALSE),""))</f>
        <v/>
      </c>
    </row>
    <row r="93" ht="24.0" customHeight="1">
      <c r="A93" s="78"/>
      <c r="B93" s="78"/>
      <c r="C93" s="97" t="str">
        <f t="array" ref="C93">IF(B93="","",IFERROR(INDEX(Applications!$C$6:$C$205,MATCH(B93,Applications!$A$6:$A$205,0)),""))</f>
        <v/>
      </c>
      <c r="D93" s="99"/>
      <c r="E93" s="99"/>
      <c r="F93" s="104"/>
      <c r="G93" s="99"/>
      <c r="H93" s="78"/>
      <c r="I93" s="65"/>
      <c r="J93" s="104"/>
      <c r="K93" s="99"/>
      <c r="L93" s="110" t="b">
        <v>0</v>
      </c>
      <c r="M93" s="78"/>
      <c r="N93" s="54" t="str">
        <f>IF(OR(F93="",G93=""),"",IFERROR(F93*VLOOKUP(G93,Setup!$A$38:$E$52,5,FALSE),""))</f>
        <v/>
      </c>
      <c r="O93" s="54" t="str">
        <f>IF(N93="","",IFERROR(N93/VLOOKUP("EUR",Setup!$A$38:$E$52,5,FALSE),""))</f>
        <v/>
      </c>
      <c r="P93" s="54" t="str">
        <f>IF(N93="","",IFERROR(N93/VLOOKUP("USD",Setup!$A$38:$E$52,5,FALSE),""))</f>
        <v/>
      </c>
      <c r="Q93" s="54" t="str">
        <f>IF(OR(J93="",K93=""),"",IFERROR(J93*VLOOKUP(K93,Setup!$A$38:$E$52,5,FALSE),""))</f>
        <v/>
      </c>
      <c r="R93" s="54" t="str">
        <f>IF(Q93="","",IFERROR(Q93/VLOOKUP("EUR",Setup!$A$38:$E$52,5,FALSE),""))</f>
        <v/>
      </c>
      <c r="S93" s="54" t="str">
        <f>IF(Q93="","",IFERROR(Q93/VLOOKUP("USD",Setup!$A$38:$E$52,5,FALSE),""))</f>
        <v/>
      </c>
    </row>
    <row r="94" ht="24.0" customHeight="1">
      <c r="A94" s="78"/>
      <c r="B94" s="78"/>
      <c r="C94" s="97" t="str">
        <f t="array" ref="C94">IF(B94="","",IFERROR(INDEX(Applications!$C$6:$C$205,MATCH(B94,Applications!$A$6:$A$205,0)),""))</f>
        <v/>
      </c>
      <c r="D94" s="99"/>
      <c r="E94" s="99"/>
      <c r="F94" s="104"/>
      <c r="G94" s="99"/>
      <c r="H94" s="78"/>
      <c r="I94" s="65"/>
      <c r="J94" s="104"/>
      <c r="K94" s="99"/>
      <c r="L94" s="110" t="b">
        <v>0</v>
      </c>
      <c r="M94" s="78"/>
      <c r="N94" s="54" t="str">
        <f>IF(OR(F94="",G94=""),"",IFERROR(F94*VLOOKUP(G94,Setup!$A$38:$E$52,5,FALSE),""))</f>
        <v/>
      </c>
      <c r="O94" s="54" t="str">
        <f>IF(N94="","",IFERROR(N94/VLOOKUP("EUR",Setup!$A$38:$E$52,5,FALSE),""))</f>
        <v/>
      </c>
      <c r="P94" s="54" t="str">
        <f>IF(N94="","",IFERROR(N94/VLOOKUP("USD",Setup!$A$38:$E$52,5,FALSE),""))</f>
        <v/>
      </c>
      <c r="Q94" s="54" t="str">
        <f>IF(OR(J94="",K94=""),"",IFERROR(J94*VLOOKUP(K94,Setup!$A$38:$E$52,5,FALSE),""))</f>
        <v/>
      </c>
      <c r="R94" s="54" t="str">
        <f>IF(Q94="","",IFERROR(Q94/VLOOKUP("EUR",Setup!$A$38:$E$52,5,FALSE),""))</f>
        <v/>
      </c>
      <c r="S94" s="54" t="str">
        <f>IF(Q94="","",IFERROR(Q94/VLOOKUP("USD",Setup!$A$38:$E$52,5,FALSE),""))</f>
        <v/>
      </c>
    </row>
    <row r="95" ht="24.0" customHeight="1">
      <c r="A95" s="78"/>
      <c r="B95" s="78"/>
      <c r="C95" s="97" t="str">
        <f t="array" ref="C95">IF(B95="","",IFERROR(INDEX(Applications!$C$6:$C$205,MATCH(B95,Applications!$A$6:$A$205,0)),""))</f>
        <v/>
      </c>
      <c r="D95" s="99"/>
      <c r="E95" s="99"/>
      <c r="F95" s="104"/>
      <c r="G95" s="99"/>
      <c r="H95" s="78"/>
      <c r="I95" s="65"/>
      <c r="J95" s="104"/>
      <c r="K95" s="99"/>
      <c r="L95" s="110" t="b">
        <v>0</v>
      </c>
      <c r="M95" s="78"/>
      <c r="N95" s="54" t="str">
        <f>IF(OR(F95="",G95=""),"",IFERROR(F95*VLOOKUP(G95,Setup!$A$38:$E$52,5,FALSE),""))</f>
        <v/>
      </c>
      <c r="O95" s="54" t="str">
        <f>IF(N95="","",IFERROR(N95/VLOOKUP("EUR",Setup!$A$38:$E$52,5,FALSE),""))</f>
        <v/>
      </c>
      <c r="P95" s="54" t="str">
        <f>IF(N95="","",IFERROR(N95/VLOOKUP("USD",Setup!$A$38:$E$52,5,FALSE),""))</f>
        <v/>
      </c>
      <c r="Q95" s="54" t="str">
        <f>IF(OR(J95="",K95=""),"",IFERROR(J95*VLOOKUP(K95,Setup!$A$38:$E$52,5,FALSE),""))</f>
        <v/>
      </c>
      <c r="R95" s="54" t="str">
        <f>IF(Q95="","",IFERROR(Q95/VLOOKUP("EUR",Setup!$A$38:$E$52,5,FALSE),""))</f>
        <v/>
      </c>
      <c r="S95" s="54" t="str">
        <f>IF(Q95="","",IFERROR(Q95/VLOOKUP("USD",Setup!$A$38:$E$52,5,FALSE),""))</f>
        <v/>
      </c>
    </row>
    <row r="96" ht="24.0" customHeight="1">
      <c r="A96" s="78"/>
      <c r="B96" s="78"/>
      <c r="C96" s="97" t="str">
        <f t="array" ref="C96">IF(B96="","",IFERROR(INDEX(Applications!$C$6:$C$205,MATCH(B96,Applications!$A$6:$A$205,0)),""))</f>
        <v/>
      </c>
      <c r="D96" s="99"/>
      <c r="E96" s="99"/>
      <c r="F96" s="104"/>
      <c r="G96" s="99"/>
      <c r="H96" s="78"/>
      <c r="I96" s="65"/>
      <c r="J96" s="104"/>
      <c r="K96" s="99"/>
      <c r="L96" s="110" t="b">
        <v>0</v>
      </c>
      <c r="M96" s="78"/>
      <c r="N96" s="54" t="str">
        <f>IF(OR(F96="",G96=""),"",IFERROR(F96*VLOOKUP(G96,Setup!$A$38:$E$52,5,FALSE),""))</f>
        <v/>
      </c>
      <c r="O96" s="54" t="str">
        <f>IF(N96="","",IFERROR(N96/VLOOKUP("EUR",Setup!$A$38:$E$52,5,FALSE),""))</f>
        <v/>
      </c>
      <c r="P96" s="54" t="str">
        <f>IF(N96="","",IFERROR(N96/VLOOKUP("USD",Setup!$A$38:$E$52,5,FALSE),""))</f>
        <v/>
      </c>
      <c r="Q96" s="54" t="str">
        <f>IF(OR(J96="",K96=""),"",IFERROR(J96*VLOOKUP(K96,Setup!$A$38:$E$52,5,FALSE),""))</f>
        <v/>
      </c>
      <c r="R96" s="54" t="str">
        <f>IF(Q96="","",IFERROR(Q96/VLOOKUP("EUR",Setup!$A$38:$E$52,5,FALSE),""))</f>
        <v/>
      </c>
      <c r="S96" s="54" t="str">
        <f>IF(Q96="","",IFERROR(Q96/VLOOKUP("USD",Setup!$A$38:$E$52,5,FALSE),""))</f>
        <v/>
      </c>
    </row>
    <row r="97" ht="24.0" customHeight="1">
      <c r="A97" s="78"/>
      <c r="B97" s="78"/>
      <c r="C97" s="97" t="str">
        <f t="array" ref="C97">IF(B97="","",IFERROR(INDEX(Applications!$C$6:$C$205,MATCH(B97,Applications!$A$6:$A$205,0)),""))</f>
        <v/>
      </c>
      <c r="D97" s="99"/>
      <c r="E97" s="99"/>
      <c r="F97" s="104"/>
      <c r="G97" s="99"/>
      <c r="H97" s="78"/>
      <c r="I97" s="65"/>
      <c r="J97" s="104"/>
      <c r="K97" s="99"/>
      <c r="L97" s="110" t="b">
        <v>0</v>
      </c>
      <c r="M97" s="78"/>
      <c r="N97" s="54" t="str">
        <f>IF(OR(F97="",G97=""),"",IFERROR(F97*VLOOKUP(G97,Setup!$A$38:$E$52,5,FALSE),""))</f>
        <v/>
      </c>
      <c r="O97" s="54" t="str">
        <f>IF(N97="","",IFERROR(N97/VLOOKUP("EUR",Setup!$A$38:$E$52,5,FALSE),""))</f>
        <v/>
      </c>
      <c r="P97" s="54" t="str">
        <f>IF(N97="","",IFERROR(N97/VLOOKUP("USD",Setup!$A$38:$E$52,5,FALSE),""))</f>
        <v/>
      </c>
      <c r="Q97" s="54" t="str">
        <f>IF(OR(J97="",K97=""),"",IFERROR(J97*VLOOKUP(K97,Setup!$A$38:$E$52,5,FALSE),""))</f>
        <v/>
      </c>
      <c r="R97" s="54" t="str">
        <f>IF(Q97="","",IFERROR(Q97/VLOOKUP("EUR",Setup!$A$38:$E$52,5,FALSE),""))</f>
        <v/>
      </c>
      <c r="S97" s="54" t="str">
        <f>IF(Q97="","",IFERROR(Q97/VLOOKUP("USD",Setup!$A$38:$E$52,5,FALSE),""))</f>
        <v/>
      </c>
    </row>
    <row r="98" ht="24.0" customHeight="1">
      <c r="A98" s="78"/>
      <c r="B98" s="78"/>
      <c r="C98" s="97" t="str">
        <f t="array" ref="C98">IF(B98="","",IFERROR(INDEX(Applications!$C$6:$C$205,MATCH(B98,Applications!$A$6:$A$205,0)),""))</f>
        <v/>
      </c>
      <c r="D98" s="99"/>
      <c r="E98" s="99"/>
      <c r="F98" s="104"/>
      <c r="G98" s="99"/>
      <c r="H98" s="78"/>
      <c r="I98" s="65"/>
      <c r="J98" s="104"/>
      <c r="K98" s="99"/>
      <c r="L98" s="110" t="b">
        <v>0</v>
      </c>
      <c r="M98" s="78"/>
      <c r="N98" s="54" t="str">
        <f>IF(OR(F98="",G98=""),"",IFERROR(F98*VLOOKUP(G98,Setup!$A$38:$E$52,5,FALSE),""))</f>
        <v/>
      </c>
      <c r="O98" s="54" t="str">
        <f>IF(N98="","",IFERROR(N98/VLOOKUP("EUR",Setup!$A$38:$E$52,5,FALSE),""))</f>
        <v/>
      </c>
      <c r="P98" s="54" t="str">
        <f>IF(N98="","",IFERROR(N98/VLOOKUP("USD",Setup!$A$38:$E$52,5,FALSE),""))</f>
        <v/>
      </c>
      <c r="Q98" s="54" t="str">
        <f>IF(OR(J98="",K98=""),"",IFERROR(J98*VLOOKUP(K98,Setup!$A$38:$E$52,5,FALSE),""))</f>
        <v/>
      </c>
      <c r="R98" s="54" t="str">
        <f>IF(Q98="","",IFERROR(Q98/VLOOKUP("EUR",Setup!$A$38:$E$52,5,FALSE),""))</f>
        <v/>
      </c>
      <c r="S98" s="54" t="str">
        <f>IF(Q98="","",IFERROR(Q98/VLOOKUP("USD",Setup!$A$38:$E$52,5,FALSE),""))</f>
        <v/>
      </c>
    </row>
    <row r="99" ht="24.0" customHeight="1">
      <c r="A99" s="78"/>
      <c r="B99" s="78"/>
      <c r="C99" s="97" t="str">
        <f t="array" ref="C99">IF(B99="","",IFERROR(INDEX(Applications!$C$6:$C$205,MATCH(B99,Applications!$A$6:$A$205,0)),""))</f>
        <v/>
      </c>
      <c r="D99" s="99"/>
      <c r="E99" s="99"/>
      <c r="F99" s="104"/>
      <c r="G99" s="99"/>
      <c r="H99" s="78"/>
      <c r="I99" s="65"/>
      <c r="J99" s="104"/>
      <c r="K99" s="99"/>
      <c r="L99" s="110" t="b">
        <v>0</v>
      </c>
      <c r="M99" s="78"/>
      <c r="N99" s="54" t="str">
        <f>IF(OR(F99="",G99=""),"",IFERROR(F99*VLOOKUP(G99,Setup!$A$38:$E$52,5,FALSE),""))</f>
        <v/>
      </c>
      <c r="O99" s="54" t="str">
        <f>IF(N99="","",IFERROR(N99/VLOOKUP("EUR",Setup!$A$38:$E$52,5,FALSE),""))</f>
        <v/>
      </c>
      <c r="P99" s="54" t="str">
        <f>IF(N99="","",IFERROR(N99/VLOOKUP("USD",Setup!$A$38:$E$52,5,FALSE),""))</f>
        <v/>
      </c>
      <c r="Q99" s="54" t="str">
        <f>IF(OR(J99="",K99=""),"",IFERROR(J99*VLOOKUP(K99,Setup!$A$38:$E$52,5,FALSE),""))</f>
        <v/>
      </c>
      <c r="R99" s="54" t="str">
        <f>IF(Q99="","",IFERROR(Q99/VLOOKUP("EUR",Setup!$A$38:$E$52,5,FALSE),""))</f>
        <v/>
      </c>
      <c r="S99" s="54" t="str">
        <f>IF(Q99="","",IFERROR(Q99/VLOOKUP("USD",Setup!$A$38:$E$52,5,FALSE),""))</f>
        <v/>
      </c>
    </row>
    <row r="100" ht="24.0" customHeight="1">
      <c r="A100" s="78"/>
      <c r="B100" s="78"/>
      <c r="C100" s="97" t="str">
        <f t="array" ref="C100">IF(B100="","",IFERROR(INDEX(Applications!$C$6:$C$205,MATCH(B100,Applications!$A$6:$A$205,0)),""))</f>
        <v/>
      </c>
      <c r="D100" s="99"/>
      <c r="E100" s="99"/>
      <c r="F100" s="104"/>
      <c r="G100" s="99"/>
      <c r="H100" s="78"/>
      <c r="I100" s="65"/>
      <c r="J100" s="104"/>
      <c r="K100" s="99"/>
      <c r="L100" s="110" t="b">
        <v>0</v>
      </c>
      <c r="M100" s="78"/>
      <c r="N100" s="54" t="str">
        <f>IF(OR(F100="",G100=""),"",IFERROR(F100*VLOOKUP(G100,Setup!$A$38:$E$52,5,FALSE),""))</f>
        <v/>
      </c>
      <c r="O100" s="54" t="str">
        <f>IF(N100="","",IFERROR(N100/VLOOKUP("EUR",Setup!$A$38:$E$52,5,FALSE),""))</f>
        <v/>
      </c>
      <c r="P100" s="54" t="str">
        <f>IF(N100="","",IFERROR(N100/VLOOKUP("USD",Setup!$A$38:$E$52,5,FALSE),""))</f>
        <v/>
      </c>
      <c r="Q100" s="54" t="str">
        <f>IF(OR(J100="",K100=""),"",IFERROR(J100*VLOOKUP(K100,Setup!$A$38:$E$52,5,FALSE),""))</f>
        <v/>
      </c>
      <c r="R100" s="54" t="str">
        <f>IF(Q100="","",IFERROR(Q100/VLOOKUP("EUR",Setup!$A$38:$E$52,5,FALSE),""))</f>
        <v/>
      </c>
      <c r="S100" s="54" t="str">
        <f>IF(Q100="","",IFERROR(Q100/VLOOKUP("USD",Setup!$A$38:$E$52,5,FALSE),""))</f>
        <v/>
      </c>
    </row>
    <row r="101" ht="24.0" customHeight="1">
      <c r="A101" s="78"/>
      <c r="B101" s="78"/>
      <c r="C101" s="97" t="str">
        <f t="array" ref="C101">IF(B101="","",IFERROR(INDEX(Applications!$C$6:$C$205,MATCH(B101,Applications!$A$6:$A$205,0)),""))</f>
        <v/>
      </c>
      <c r="D101" s="99"/>
      <c r="E101" s="99"/>
      <c r="F101" s="104"/>
      <c r="G101" s="99"/>
      <c r="H101" s="78"/>
      <c r="I101" s="65"/>
      <c r="J101" s="104"/>
      <c r="K101" s="99"/>
      <c r="L101" s="110" t="b">
        <v>0</v>
      </c>
      <c r="M101" s="78"/>
      <c r="N101" s="54" t="str">
        <f>IF(OR(F101="",G101=""),"",IFERROR(F101*VLOOKUP(G101,Setup!$A$38:$E$52,5,FALSE),""))</f>
        <v/>
      </c>
      <c r="O101" s="54" t="str">
        <f>IF(N101="","",IFERROR(N101/VLOOKUP("EUR",Setup!$A$38:$E$52,5,FALSE),""))</f>
        <v/>
      </c>
      <c r="P101" s="54" t="str">
        <f>IF(N101="","",IFERROR(N101/VLOOKUP("USD",Setup!$A$38:$E$52,5,FALSE),""))</f>
        <v/>
      </c>
      <c r="Q101" s="54" t="str">
        <f>IF(OR(J101="",K101=""),"",IFERROR(J101*VLOOKUP(K101,Setup!$A$38:$E$52,5,FALSE),""))</f>
        <v/>
      </c>
      <c r="R101" s="54" t="str">
        <f>IF(Q101="","",IFERROR(Q101/VLOOKUP("EUR",Setup!$A$38:$E$52,5,FALSE),""))</f>
        <v/>
      </c>
      <c r="S101" s="54" t="str">
        <f>IF(Q101="","",IFERROR(Q101/VLOOKUP("USD",Setup!$A$38:$E$52,5,FALSE),""))</f>
        <v/>
      </c>
    </row>
    <row r="102" ht="24.0" customHeight="1">
      <c r="A102" s="78"/>
      <c r="B102" s="78"/>
      <c r="C102" s="97" t="str">
        <f t="array" ref="C102">IF(B102="","",IFERROR(INDEX(Applications!$C$6:$C$205,MATCH(B102,Applications!$A$6:$A$205,0)),""))</f>
        <v/>
      </c>
      <c r="D102" s="99"/>
      <c r="E102" s="99"/>
      <c r="F102" s="104"/>
      <c r="G102" s="99"/>
      <c r="H102" s="78"/>
      <c r="I102" s="65"/>
      <c r="J102" s="104"/>
      <c r="K102" s="99"/>
      <c r="L102" s="110" t="b">
        <v>0</v>
      </c>
      <c r="M102" s="78"/>
      <c r="N102" s="54" t="str">
        <f>IF(OR(F102="",G102=""),"",IFERROR(F102*VLOOKUP(G102,Setup!$A$38:$E$52,5,FALSE),""))</f>
        <v/>
      </c>
      <c r="O102" s="54" t="str">
        <f>IF(N102="","",IFERROR(N102/VLOOKUP("EUR",Setup!$A$38:$E$52,5,FALSE),""))</f>
        <v/>
      </c>
      <c r="P102" s="54" t="str">
        <f>IF(N102="","",IFERROR(N102/VLOOKUP("USD",Setup!$A$38:$E$52,5,FALSE),""))</f>
        <v/>
      </c>
      <c r="Q102" s="54" t="str">
        <f>IF(OR(J102="",K102=""),"",IFERROR(J102*VLOOKUP(K102,Setup!$A$38:$E$52,5,FALSE),""))</f>
        <v/>
      </c>
      <c r="R102" s="54" t="str">
        <f>IF(Q102="","",IFERROR(Q102/VLOOKUP("EUR",Setup!$A$38:$E$52,5,FALSE),""))</f>
        <v/>
      </c>
      <c r="S102" s="54" t="str">
        <f>IF(Q102="","",IFERROR(Q102/VLOOKUP("USD",Setup!$A$38:$E$52,5,FALSE),""))</f>
        <v/>
      </c>
    </row>
    <row r="103" ht="24.0" customHeight="1">
      <c r="A103" s="78"/>
      <c r="B103" s="78"/>
      <c r="C103" s="97" t="str">
        <f t="array" ref="C103">IF(B103="","",IFERROR(INDEX(Applications!$C$6:$C$205,MATCH(B103,Applications!$A$6:$A$205,0)),""))</f>
        <v/>
      </c>
      <c r="D103" s="99"/>
      <c r="E103" s="99"/>
      <c r="F103" s="104"/>
      <c r="G103" s="99"/>
      <c r="H103" s="78"/>
      <c r="I103" s="65"/>
      <c r="J103" s="104"/>
      <c r="K103" s="99"/>
      <c r="L103" s="110" t="b">
        <v>0</v>
      </c>
      <c r="M103" s="78"/>
      <c r="N103" s="54" t="str">
        <f>IF(OR(F103="",G103=""),"",IFERROR(F103*VLOOKUP(G103,Setup!$A$38:$E$52,5,FALSE),""))</f>
        <v/>
      </c>
      <c r="O103" s="54" t="str">
        <f>IF(N103="","",IFERROR(N103/VLOOKUP("EUR",Setup!$A$38:$E$52,5,FALSE),""))</f>
        <v/>
      </c>
      <c r="P103" s="54" t="str">
        <f>IF(N103="","",IFERROR(N103/VLOOKUP("USD",Setup!$A$38:$E$52,5,FALSE),""))</f>
        <v/>
      </c>
      <c r="Q103" s="54" t="str">
        <f>IF(OR(J103="",K103=""),"",IFERROR(J103*VLOOKUP(K103,Setup!$A$38:$E$52,5,FALSE),""))</f>
        <v/>
      </c>
      <c r="R103" s="54" t="str">
        <f>IF(Q103="","",IFERROR(Q103/VLOOKUP("EUR",Setup!$A$38:$E$52,5,FALSE),""))</f>
        <v/>
      </c>
      <c r="S103" s="54" t="str">
        <f>IF(Q103="","",IFERROR(Q103/VLOOKUP("USD",Setup!$A$38:$E$52,5,FALSE),""))</f>
        <v/>
      </c>
    </row>
    <row r="104" ht="24.0" customHeight="1">
      <c r="A104" s="78"/>
      <c r="B104" s="78"/>
      <c r="C104" s="97" t="str">
        <f t="array" ref="C104">IF(B104="","",IFERROR(INDEX(Applications!$C$6:$C$205,MATCH(B104,Applications!$A$6:$A$205,0)),""))</f>
        <v/>
      </c>
      <c r="D104" s="99"/>
      <c r="E104" s="99"/>
      <c r="F104" s="104"/>
      <c r="G104" s="99"/>
      <c r="H104" s="78"/>
      <c r="I104" s="65"/>
      <c r="J104" s="104"/>
      <c r="K104" s="99"/>
      <c r="L104" s="110" t="b">
        <v>0</v>
      </c>
      <c r="M104" s="78"/>
      <c r="N104" s="54" t="str">
        <f>IF(OR(F104="",G104=""),"",IFERROR(F104*VLOOKUP(G104,Setup!$A$38:$E$52,5,FALSE),""))</f>
        <v/>
      </c>
      <c r="O104" s="54" t="str">
        <f>IF(N104="","",IFERROR(N104/VLOOKUP("EUR",Setup!$A$38:$E$52,5,FALSE),""))</f>
        <v/>
      </c>
      <c r="P104" s="54" t="str">
        <f>IF(N104="","",IFERROR(N104/VLOOKUP("USD",Setup!$A$38:$E$52,5,FALSE),""))</f>
        <v/>
      </c>
      <c r="Q104" s="54" t="str">
        <f>IF(OR(J104="",K104=""),"",IFERROR(J104*VLOOKUP(K104,Setup!$A$38:$E$52,5,FALSE),""))</f>
        <v/>
      </c>
      <c r="R104" s="54" t="str">
        <f>IF(Q104="","",IFERROR(Q104/VLOOKUP("EUR",Setup!$A$38:$E$52,5,FALSE),""))</f>
        <v/>
      </c>
      <c r="S104" s="54" t="str">
        <f>IF(Q104="","",IFERROR(Q104/VLOOKUP("USD",Setup!$A$38:$E$52,5,FALSE),""))</f>
        <v/>
      </c>
    </row>
    <row r="105" ht="24.0" customHeight="1">
      <c r="A105" s="78"/>
      <c r="B105" s="78"/>
      <c r="C105" s="97" t="str">
        <f t="array" ref="C105">IF(B105="","",IFERROR(INDEX(Applications!$C$6:$C$205,MATCH(B105,Applications!$A$6:$A$205,0)),""))</f>
        <v/>
      </c>
      <c r="D105" s="99"/>
      <c r="E105" s="99"/>
      <c r="F105" s="104"/>
      <c r="G105" s="99"/>
      <c r="H105" s="78"/>
      <c r="I105" s="65"/>
      <c r="J105" s="104"/>
      <c r="K105" s="99"/>
      <c r="L105" s="110" t="b">
        <v>0</v>
      </c>
      <c r="M105" s="78"/>
      <c r="N105" s="54" t="str">
        <f>IF(OR(F105="",G105=""),"",IFERROR(F105*VLOOKUP(G105,Setup!$A$38:$E$52,5,FALSE),""))</f>
        <v/>
      </c>
      <c r="O105" s="54" t="str">
        <f>IF(N105="","",IFERROR(N105/VLOOKUP("EUR",Setup!$A$38:$E$52,5,FALSE),""))</f>
        <v/>
      </c>
      <c r="P105" s="54" t="str">
        <f>IF(N105="","",IFERROR(N105/VLOOKUP("USD",Setup!$A$38:$E$52,5,FALSE),""))</f>
        <v/>
      </c>
      <c r="Q105" s="54" t="str">
        <f>IF(OR(J105="",K105=""),"",IFERROR(J105*VLOOKUP(K105,Setup!$A$38:$E$52,5,FALSE),""))</f>
        <v/>
      </c>
      <c r="R105" s="54" t="str">
        <f>IF(Q105="","",IFERROR(Q105/VLOOKUP("EUR",Setup!$A$38:$E$52,5,FALSE),""))</f>
        <v/>
      </c>
      <c r="S105" s="54" t="str">
        <f>IF(Q105="","",IFERROR(Q105/VLOOKUP("USD",Setup!$A$38:$E$52,5,FALSE),""))</f>
        <v/>
      </c>
    </row>
    <row r="106" ht="24.0" customHeight="1">
      <c r="A106" s="78"/>
      <c r="B106" s="78"/>
      <c r="C106" s="97" t="str">
        <f t="array" ref="C106">IF(B106="","",IFERROR(INDEX(Applications!$C$6:$C$205,MATCH(B106,Applications!$A$6:$A$205,0)),""))</f>
        <v/>
      </c>
      <c r="D106" s="99"/>
      <c r="E106" s="99"/>
      <c r="F106" s="104"/>
      <c r="G106" s="99"/>
      <c r="H106" s="78"/>
      <c r="I106" s="65"/>
      <c r="J106" s="104"/>
      <c r="K106" s="99"/>
      <c r="L106" s="110" t="b">
        <v>0</v>
      </c>
      <c r="M106" s="78"/>
      <c r="N106" s="54" t="str">
        <f>IF(OR(F106="",G106=""),"",IFERROR(F106*VLOOKUP(G106,Setup!$A$38:$E$52,5,FALSE),""))</f>
        <v/>
      </c>
      <c r="O106" s="54" t="str">
        <f>IF(N106="","",IFERROR(N106/VLOOKUP("EUR",Setup!$A$38:$E$52,5,FALSE),""))</f>
        <v/>
      </c>
      <c r="P106" s="54" t="str">
        <f>IF(N106="","",IFERROR(N106/VLOOKUP("USD",Setup!$A$38:$E$52,5,FALSE),""))</f>
        <v/>
      </c>
      <c r="Q106" s="54" t="str">
        <f>IF(OR(J106="",K106=""),"",IFERROR(J106*VLOOKUP(K106,Setup!$A$38:$E$52,5,FALSE),""))</f>
        <v/>
      </c>
      <c r="R106" s="54" t="str">
        <f>IF(Q106="","",IFERROR(Q106/VLOOKUP("EUR",Setup!$A$38:$E$52,5,FALSE),""))</f>
        <v/>
      </c>
      <c r="S106" s="54" t="str">
        <f>IF(Q106="","",IFERROR(Q106/VLOOKUP("USD",Setup!$A$38:$E$52,5,FALSE),""))</f>
        <v/>
      </c>
    </row>
    <row r="107" ht="24.0" customHeight="1">
      <c r="A107" s="78"/>
      <c r="B107" s="78"/>
      <c r="C107" s="97" t="str">
        <f t="array" ref="C107">IF(B107="","",IFERROR(INDEX(Applications!$C$6:$C$205,MATCH(B107,Applications!$A$6:$A$205,0)),""))</f>
        <v/>
      </c>
      <c r="D107" s="99"/>
      <c r="E107" s="99"/>
      <c r="F107" s="104"/>
      <c r="G107" s="99"/>
      <c r="H107" s="78"/>
      <c r="I107" s="65"/>
      <c r="J107" s="104"/>
      <c r="K107" s="99"/>
      <c r="L107" s="110" t="b">
        <v>0</v>
      </c>
      <c r="M107" s="78"/>
      <c r="N107" s="54" t="str">
        <f>IF(OR(F107="",G107=""),"",IFERROR(F107*VLOOKUP(G107,Setup!$A$38:$E$52,5,FALSE),""))</f>
        <v/>
      </c>
      <c r="O107" s="54" t="str">
        <f>IF(N107="","",IFERROR(N107/VLOOKUP("EUR",Setup!$A$38:$E$52,5,FALSE),""))</f>
        <v/>
      </c>
      <c r="P107" s="54" t="str">
        <f>IF(N107="","",IFERROR(N107/VLOOKUP("USD",Setup!$A$38:$E$52,5,FALSE),""))</f>
        <v/>
      </c>
      <c r="Q107" s="54" t="str">
        <f>IF(OR(J107="",K107=""),"",IFERROR(J107*VLOOKUP(K107,Setup!$A$38:$E$52,5,FALSE),""))</f>
        <v/>
      </c>
      <c r="R107" s="54" t="str">
        <f>IF(Q107="","",IFERROR(Q107/VLOOKUP("EUR",Setup!$A$38:$E$52,5,FALSE),""))</f>
        <v/>
      </c>
      <c r="S107" s="54" t="str">
        <f>IF(Q107="","",IFERROR(Q107/VLOOKUP("USD",Setup!$A$38:$E$52,5,FALSE),""))</f>
        <v/>
      </c>
    </row>
    <row r="108" ht="24.0" customHeight="1">
      <c r="A108" s="78"/>
      <c r="B108" s="78"/>
      <c r="C108" s="97" t="str">
        <f t="array" ref="C108">IF(B108="","",IFERROR(INDEX(Applications!$C$6:$C$205,MATCH(B108,Applications!$A$6:$A$205,0)),""))</f>
        <v/>
      </c>
      <c r="D108" s="99"/>
      <c r="E108" s="99"/>
      <c r="F108" s="104"/>
      <c r="G108" s="99"/>
      <c r="H108" s="78"/>
      <c r="I108" s="65"/>
      <c r="J108" s="104"/>
      <c r="K108" s="99"/>
      <c r="L108" s="110" t="b">
        <v>0</v>
      </c>
      <c r="M108" s="78"/>
      <c r="N108" s="54" t="str">
        <f>IF(OR(F108="",G108=""),"",IFERROR(F108*VLOOKUP(G108,Setup!$A$38:$E$52,5,FALSE),""))</f>
        <v/>
      </c>
      <c r="O108" s="54" t="str">
        <f>IF(N108="","",IFERROR(N108/VLOOKUP("EUR",Setup!$A$38:$E$52,5,FALSE),""))</f>
        <v/>
      </c>
      <c r="P108" s="54" t="str">
        <f>IF(N108="","",IFERROR(N108/VLOOKUP("USD",Setup!$A$38:$E$52,5,FALSE),""))</f>
        <v/>
      </c>
      <c r="Q108" s="54" t="str">
        <f>IF(OR(J108="",K108=""),"",IFERROR(J108*VLOOKUP(K108,Setup!$A$38:$E$52,5,FALSE),""))</f>
        <v/>
      </c>
      <c r="R108" s="54" t="str">
        <f>IF(Q108="","",IFERROR(Q108/VLOOKUP("EUR",Setup!$A$38:$E$52,5,FALSE),""))</f>
        <v/>
      </c>
      <c r="S108" s="54" t="str">
        <f>IF(Q108="","",IFERROR(Q108/VLOOKUP("USD",Setup!$A$38:$E$52,5,FALSE),""))</f>
        <v/>
      </c>
    </row>
    <row r="109" ht="24.0" customHeight="1">
      <c r="A109" s="78"/>
      <c r="B109" s="78"/>
      <c r="C109" s="97" t="str">
        <f t="array" ref="C109">IF(B109="","",IFERROR(INDEX(Applications!$C$6:$C$205,MATCH(B109,Applications!$A$6:$A$205,0)),""))</f>
        <v/>
      </c>
      <c r="D109" s="99"/>
      <c r="E109" s="99"/>
      <c r="F109" s="104"/>
      <c r="G109" s="99"/>
      <c r="H109" s="78"/>
      <c r="I109" s="65"/>
      <c r="J109" s="104"/>
      <c r="K109" s="99"/>
      <c r="L109" s="110" t="b">
        <v>0</v>
      </c>
      <c r="M109" s="78"/>
      <c r="N109" s="54" t="str">
        <f>IF(OR(F109="",G109=""),"",IFERROR(F109*VLOOKUP(G109,Setup!$A$38:$E$52,5,FALSE),""))</f>
        <v/>
      </c>
      <c r="O109" s="54" t="str">
        <f>IF(N109="","",IFERROR(N109/VLOOKUP("EUR",Setup!$A$38:$E$52,5,FALSE),""))</f>
        <v/>
      </c>
      <c r="P109" s="54" t="str">
        <f>IF(N109="","",IFERROR(N109/VLOOKUP("USD",Setup!$A$38:$E$52,5,FALSE),""))</f>
        <v/>
      </c>
      <c r="Q109" s="54" t="str">
        <f>IF(OR(J109="",K109=""),"",IFERROR(J109*VLOOKUP(K109,Setup!$A$38:$E$52,5,FALSE),""))</f>
        <v/>
      </c>
      <c r="R109" s="54" t="str">
        <f>IF(Q109="","",IFERROR(Q109/VLOOKUP("EUR",Setup!$A$38:$E$52,5,FALSE),""))</f>
        <v/>
      </c>
      <c r="S109" s="54" t="str">
        <f>IF(Q109="","",IFERROR(Q109/VLOOKUP("USD",Setup!$A$38:$E$52,5,FALSE),""))</f>
        <v/>
      </c>
    </row>
    <row r="110" ht="24.0" customHeight="1">
      <c r="A110" s="78"/>
      <c r="B110" s="78"/>
      <c r="C110" s="97" t="str">
        <f t="array" ref="C110">IF(B110="","",IFERROR(INDEX(Applications!$C$6:$C$205,MATCH(B110,Applications!$A$6:$A$205,0)),""))</f>
        <v/>
      </c>
      <c r="D110" s="99"/>
      <c r="E110" s="99"/>
      <c r="F110" s="104"/>
      <c r="G110" s="99"/>
      <c r="H110" s="78"/>
      <c r="I110" s="65"/>
      <c r="J110" s="104"/>
      <c r="K110" s="99"/>
      <c r="L110" s="110" t="b">
        <v>0</v>
      </c>
      <c r="M110" s="78"/>
      <c r="N110" s="54" t="str">
        <f>IF(OR(F110="",G110=""),"",IFERROR(F110*VLOOKUP(G110,Setup!$A$38:$E$52,5,FALSE),""))</f>
        <v/>
      </c>
      <c r="O110" s="54" t="str">
        <f>IF(N110="","",IFERROR(N110/VLOOKUP("EUR",Setup!$A$38:$E$52,5,FALSE),""))</f>
        <v/>
      </c>
      <c r="P110" s="54" t="str">
        <f>IF(N110="","",IFERROR(N110/VLOOKUP("USD",Setup!$A$38:$E$52,5,FALSE),""))</f>
        <v/>
      </c>
      <c r="Q110" s="54" t="str">
        <f>IF(OR(J110="",K110=""),"",IFERROR(J110*VLOOKUP(K110,Setup!$A$38:$E$52,5,FALSE),""))</f>
        <v/>
      </c>
      <c r="R110" s="54" t="str">
        <f>IF(Q110="","",IFERROR(Q110/VLOOKUP("EUR",Setup!$A$38:$E$52,5,FALSE),""))</f>
        <v/>
      </c>
      <c r="S110" s="54" t="str">
        <f>IF(Q110="","",IFERROR(Q110/VLOOKUP("USD",Setup!$A$38:$E$52,5,FALSE),""))</f>
        <v/>
      </c>
    </row>
    <row r="111" ht="24.0" customHeight="1">
      <c r="A111" s="78"/>
      <c r="B111" s="78"/>
      <c r="C111" s="97" t="str">
        <f t="array" ref="C111">IF(B111="","",IFERROR(INDEX(Applications!$C$6:$C$205,MATCH(B111,Applications!$A$6:$A$205,0)),""))</f>
        <v/>
      </c>
      <c r="D111" s="99"/>
      <c r="E111" s="99"/>
      <c r="F111" s="104"/>
      <c r="G111" s="99"/>
      <c r="H111" s="78"/>
      <c r="I111" s="65"/>
      <c r="J111" s="104"/>
      <c r="K111" s="99"/>
      <c r="L111" s="110" t="b">
        <v>0</v>
      </c>
      <c r="M111" s="78"/>
      <c r="N111" s="54" t="str">
        <f>IF(OR(F111="",G111=""),"",IFERROR(F111*VLOOKUP(G111,Setup!$A$38:$E$52,5,FALSE),""))</f>
        <v/>
      </c>
      <c r="O111" s="54" t="str">
        <f>IF(N111="","",IFERROR(N111/VLOOKUP("EUR",Setup!$A$38:$E$52,5,FALSE),""))</f>
        <v/>
      </c>
      <c r="P111" s="54" t="str">
        <f>IF(N111="","",IFERROR(N111/VLOOKUP("USD",Setup!$A$38:$E$52,5,FALSE),""))</f>
        <v/>
      </c>
      <c r="Q111" s="54" t="str">
        <f>IF(OR(J111="",K111=""),"",IFERROR(J111*VLOOKUP(K111,Setup!$A$38:$E$52,5,FALSE),""))</f>
        <v/>
      </c>
      <c r="R111" s="54" t="str">
        <f>IF(Q111="","",IFERROR(Q111/VLOOKUP("EUR",Setup!$A$38:$E$52,5,FALSE),""))</f>
        <v/>
      </c>
      <c r="S111" s="54" t="str">
        <f>IF(Q111="","",IFERROR(Q111/VLOOKUP("USD",Setup!$A$38:$E$52,5,FALSE),""))</f>
        <v/>
      </c>
    </row>
    <row r="112" ht="24.0" customHeight="1">
      <c r="A112" s="78"/>
      <c r="B112" s="78"/>
      <c r="C112" s="97" t="str">
        <f t="array" ref="C112">IF(B112="","",IFERROR(INDEX(Applications!$C$6:$C$205,MATCH(B112,Applications!$A$6:$A$205,0)),""))</f>
        <v/>
      </c>
      <c r="D112" s="99"/>
      <c r="E112" s="99"/>
      <c r="F112" s="104"/>
      <c r="G112" s="99"/>
      <c r="H112" s="78"/>
      <c r="I112" s="65"/>
      <c r="J112" s="104"/>
      <c r="K112" s="99"/>
      <c r="L112" s="110" t="b">
        <v>0</v>
      </c>
      <c r="M112" s="78"/>
      <c r="N112" s="54" t="str">
        <f>IF(OR(F112="",G112=""),"",IFERROR(F112*VLOOKUP(G112,Setup!$A$38:$E$52,5,FALSE),""))</f>
        <v/>
      </c>
      <c r="O112" s="54" t="str">
        <f>IF(N112="","",IFERROR(N112/VLOOKUP("EUR",Setup!$A$38:$E$52,5,FALSE),""))</f>
        <v/>
      </c>
      <c r="P112" s="54" t="str">
        <f>IF(N112="","",IFERROR(N112/VLOOKUP("USD",Setup!$A$38:$E$52,5,FALSE),""))</f>
        <v/>
      </c>
      <c r="Q112" s="54" t="str">
        <f>IF(OR(J112="",K112=""),"",IFERROR(J112*VLOOKUP(K112,Setup!$A$38:$E$52,5,FALSE),""))</f>
        <v/>
      </c>
      <c r="R112" s="54" t="str">
        <f>IF(Q112="","",IFERROR(Q112/VLOOKUP("EUR",Setup!$A$38:$E$52,5,FALSE),""))</f>
        <v/>
      </c>
      <c r="S112" s="54" t="str">
        <f>IF(Q112="","",IFERROR(Q112/VLOOKUP("USD",Setup!$A$38:$E$52,5,FALSE),""))</f>
        <v/>
      </c>
    </row>
    <row r="113" ht="24.0" customHeight="1">
      <c r="A113" s="78"/>
      <c r="B113" s="78"/>
      <c r="C113" s="97" t="str">
        <f t="array" ref="C113">IF(B113="","",IFERROR(INDEX(Applications!$C$6:$C$205,MATCH(B113,Applications!$A$6:$A$205,0)),""))</f>
        <v/>
      </c>
      <c r="D113" s="99"/>
      <c r="E113" s="99"/>
      <c r="F113" s="104"/>
      <c r="G113" s="99"/>
      <c r="H113" s="78"/>
      <c r="I113" s="65"/>
      <c r="J113" s="104"/>
      <c r="K113" s="99"/>
      <c r="L113" s="110" t="b">
        <v>0</v>
      </c>
      <c r="M113" s="78"/>
      <c r="N113" s="54" t="str">
        <f>IF(OR(F113="",G113=""),"",IFERROR(F113*VLOOKUP(G113,Setup!$A$38:$E$52,5,FALSE),""))</f>
        <v/>
      </c>
      <c r="O113" s="54" t="str">
        <f>IF(N113="","",IFERROR(N113/VLOOKUP("EUR",Setup!$A$38:$E$52,5,FALSE),""))</f>
        <v/>
      </c>
      <c r="P113" s="54" t="str">
        <f>IF(N113="","",IFERROR(N113/VLOOKUP("USD",Setup!$A$38:$E$52,5,FALSE),""))</f>
        <v/>
      </c>
      <c r="Q113" s="54" t="str">
        <f>IF(OR(J113="",K113=""),"",IFERROR(J113*VLOOKUP(K113,Setup!$A$38:$E$52,5,FALSE),""))</f>
        <v/>
      </c>
      <c r="R113" s="54" t="str">
        <f>IF(Q113="","",IFERROR(Q113/VLOOKUP("EUR",Setup!$A$38:$E$52,5,FALSE),""))</f>
        <v/>
      </c>
      <c r="S113" s="54" t="str">
        <f>IF(Q113="","",IFERROR(Q113/VLOOKUP("USD",Setup!$A$38:$E$52,5,FALSE),""))</f>
        <v/>
      </c>
    </row>
    <row r="114" ht="24.0" customHeight="1">
      <c r="A114" s="78"/>
      <c r="B114" s="78"/>
      <c r="C114" s="97" t="str">
        <f t="array" ref="C114">IF(B114="","",IFERROR(INDEX(Applications!$C$6:$C$205,MATCH(B114,Applications!$A$6:$A$205,0)),""))</f>
        <v/>
      </c>
      <c r="D114" s="99"/>
      <c r="E114" s="99"/>
      <c r="F114" s="104"/>
      <c r="G114" s="99"/>
      <c r="H114" s="78"/>
      <c r="I114" s="65"/>
      <c r="J114" s="104"/>
      <c r="K114" s="99"/>
      <c r="L114" s="110" t="b">
        <v>0</v>
      </c>
      <c r="M114" s="78"/>
      <c r="N114" s="54" t="str">
        <f>IF(OR(F114="",G114=""),"",IFERROR(F114*VLOOKUP(G114,Setup!$A$38:$E$52,5,FALSE),""))</f>
        <v/>
      </c>
      <c r="O114" s="54" t="str">
        <f>IF(N114="","",IFERROR(N114/VLOOKUP("EUR",Setup!$A$38:$E$52,5,FALSE),""))</f>
        <v/>
      </c>
      <c r="P114" s="54" t="str">
        <f>IF(N114="","",IFERROR(N114/VLOOKUP("USD",Setup!$A$38:$E$52,5,FALSE),""))</f>
        <v/>
      </c>
      <c r="Q114" s="54" t="str">
        <f>IF(OR(J114="",K114=""),"",IFERROR(J114*VLOOKUP(K114,Setup!$A$38:$E$52,5,FALSE),""))</f>
        <v/>
      </c>
      <c r="R114" s="54" t="str">
        <f>IF(Q114="","",IFERROR(Q114/VLOOKUP("EUR",Setup!$A$38:$E$52,5,FALSE),""))</f>
        <v/>
      </c>
      <c r="S114" s="54" t="str">
        <f>IF(Q114="","",IFERROR(Q114/VLOOKUP("USD",Setup!$A$38:$E$52,5,FALSE),""))</f>
        <v/>
      </c>
    </row>
    <row r="115" ht="24.0" customHeight="1">
      <c r="A115" s="78"/>
      <c r="B115" s="78"/>
      <c r="C115" s="97" t="str">
        <f t="array" ref="C115">IF(B115="","",IFERROR(INDEX(Applications!$C$6:$C$205,MATCH(B115,Applications!$A$6:$A$205,0)),""))</f>
        <v/>
      </c>
      <c r="D115" s="99"/>
      <c r="E115" s="99"/>
      <c r="F115" s="104"/>
      <c r="G115" s="99"/>
      <c r="H115" s="78"/>
      <c r="I115" s="65"/>
      <c r="J115" s="104"/>
      <c r="K115" s="99"/>
      <c r="L115" s="110" t="b">
        <v>0</v>
      </c>
      <c r="M115" s="78"/>
      <c r="N115" s="54" t="str">
        <f>IF(OR(F115="",G115=""),"",IFERROR(F115*VLOOKUP(G115,Setup!$A$38:$E$52,5,FALSE),""))</f>
        <v/>
      </c>
      <c r="O115" s="54" t="str">
        <f>IF(N115="","",IFERROR(N115/VLOOKUP("EUR",Setup!$A$38:$E$52,5,FALSE),""))</f>
        <v/>
      </c>
      <c r="P115" s="54" t="str">
        <f>IF(N115="","",IFERROR(N115/VLOOKUP("USD",Setup!$A$38:$E$52,5,FALSE),""))</f>
        <v/>
      </c>
      <c r="Q115" s="54" t="str">
        <f>IF(OR(J115="",K115=""),"",IFERROR(J115*VLOOKUP(K115,Setup!$A$38:$E$52,5,FALSE),""))</f>
        <v/>
      </c>
      <c r="R115" s="54" t="str">
        <f>IF(Q115="","",IFERROR(Q115/VLOOKUP("EUR",Setup!$A$38:$E$52,5,FALSE),""))</f>
        <v/>
      </c>
      <c r="S115" s="54" t="str">
        <f>IF(Q115="","",IFERROR(Q115/VLOOKUP("USD",Setup!$A$38:$E$52,5,FALSE),""))</f>
        <v/>
      </c>
    </row>
    <row r="116" ht="24.0" customHeight="1">
      <c r="A116" s="78"/>
      <c r="B116" s="78"/>
      <c r="C116" s="97" t="str">
        <f t="array" ref="C116">IF(B116="","",IFERROR(INDEX(Applications!$C$6:$C$205,MATCH(B116,Applications!$A$6:$A$205,0)),""))</f>
        <v/>
      </c>
      <c r="D116" s="99"/>
      <c r="E116" s="99"/>
      <c r="F116" s="104"/>
      <c r="G116" s="99"/>
      <c r="H116" s="78"/>
      <c r="I116" s="65"/>
      <c r="J116" s="104"/>
      <c r="K116" s="99"/>
      <c r="L116" s="110" t="b">
        <v>0</v>
      </c>
      <c r="M116" s="78"/>
      <c r="N116" s="54" t="str">
        <f>IF(OR(F116="",G116=""),"",IFERROR(F116*VLOOKUP(G116,Setup!$A$38:$E$52,5,FALSE),""))</f>
        <v/>
      </c>
      <c r="O116" s="54" t="str">
        <f>IF(N116="","",IFERROR(N116/VLOOKUP("EUR",Setup!$A$38:$E$52,5,FALSE),""))</f>
        <v/>
      </c>
      <c r="P116" s="54" t="str">
        <f>IF(N116="","",IFERROR(N116/VLOOKUP("USD",Setup!$A$38:$E$52,5,FALSE),""))</f>
        <v/>
      </c>
      <c r="Q116" s="54" t="str">
        <f>IF(OR(J116="",K116=""),"",IFERROR(J116*VLOOKUP(K116,Setup!$A$38:$E$52,5,FALSE),""))</f>
        <v/>
      </c>
      <c r="R116" s="54" t="str">
        <f>IF(Q116="","",IFERROR(Q116/VLOOKUP("EUR",Setup!$A$38:$E$52,5,FALSE),""))</f>
        <v/>
      </c>
      <c r="S116" s="54" t="str">
        <f>IF(Q116="","",IFERROR(Q116/VLOOKUP("USD",Setup!$A$38:$E$52,5,FALSE),""))</f>
        <v/>
      </c>
    </row>
    <row r="117" ht="24.0" customHeight="1">
      <c r="A117" s="78"/>
      <c r="B117" s="78"/>
      <c r="C117" s="97" t="str">
        <f t="array" ref="C117">IF(B117="","",IFERROR(INDEX(Applications!$C$6:$C$205,MATCH(B117,Applications!$A$6:$A$205,0)),""))</f>
        <v/>
      </c>
      <c r="D117" s="99"/>
      <c r="E117" s="99"/>
      <c r="F117" s="104"/>
      <c r="G117" s="99"/>
      <c r="H117" s="78"/>
      <c r="I117" s="65"/>
      <c r="J117" s="104"/>
      <c r="K117" s="99"/>
      <c r="L117" s="110" t="b">
        <v>0</v>
      </c>
      <c r="M117" s="78"/>
      <c r="N117" s="54" t="str">
        <f>IF(OR(F117="",G117=""),"",IFERROR(F117*VLOOKUP(G117,Setup!$A$38:$E$52,5,FALSE),""))</f>
        <v/>
      </c>
      <c r="O117" s="54" t="str">
        <f>IF(N117="","",IFERROR(N117/VLOOKUP("EUR",Setup!$A$38:$E$52,5,FALSE),""))</f>
        <v/>
      </c>
      <c r="P117" s="54" t="str">
        <f>IF(N117="","",IFERROR(N117/VLOOKUP("USD",Setup!$A$38:$E$52,5,FALSE),""))</f>
        <v/>
      </c>
      <c r="Q117" s="54" t="str">
        <f>IF(OR(J117="",K117=""),"",IFERROR(J117*VLOOKUP(K117,Setup!$A$38:$E$52,5,FALSE),""))</f>
        <v/>
      </c>
      <c r="R117" s="54" t="str">
        <f>IF(Q117="","",IFERROR(Q117/VLOOKUP("EUR",Setup!$A$38:$E$52,5,FALSE),""))</f>
        <v/>
      </c>
      <c r="S117" s="54" t="str">
        <f>IF(Q117="","",IFERROR(Q117/VLOOKUP("USD",Setup!$A$38:$E$52,5,FALSE),""))</f>
        <v/>
      </c>
    </row>
    <row r="118" ht="24.0" customHeight="1">
      <c r="A118" s="78"/>
      <c r="B118" s="78"/>
      <c r="C118" s="97" t="str">
        <f t="array" ref="C118">IF(B118="","",IFERROR(INDEX(Applications!$C$6:$C$205,MATCH(B118,Applications!$A$6:$A$205,0)),""))</f>
        <v/>
      </c>
      <c r="D118" s="99"/>
      <c r="E118" s="99"/>
      <c r="F118" s="104"/>
      <c r="G118" s="99"/>
      <c r="H118" s="78"/>
      <c r="I118" s="65"/>
      <c r="J118" s="104"/>
      <c r="K118" s="99"/>
      <c r="L118" s="110" t="b">
        <v>0</v>
      </c>
      <c r="M118" s="78"/>
      <c r="N118" s="54" t="str">
        <f>IF(OR(F118="",G118=""),"",IFERROR(F118*VLOOKUP(G118,Setup!$A$38:$E$52,5,FALSE),""))</f>
        <v/>
      </c>
      <c r="O118" s="54" t="str">
        <f>IF(N118="","",IFERROR(N118/VLOOKUP("EUR",Setup!$A$38:$E$52,5,FALSE),""))</f>
        <v/>
      </c>
      <c r="P118" s="54" t="str">
        <f>IF(N118="","",IFERROR(N118/VLOOKUP("USD",Setup!$A$38:$E$52,5,FALSE),""))</f>
        <v/>
      </c>
      <c r="Q118" s="54" t="str">
        <f>IF(OR(J118="",K118=""),"",IFERROR(J118*VLOOKUP(K118,Setup!$A$38:$E$52,5,FALSE),""))</f>
        <v/>
      </c>
      <c r="R118" s="54" t="str">
        <f>IF(Q118="","",IFERROR(Q118/VLOOKUP("EUR",Setup!$A$38:$E$52,5,FALSE),""))</f>
        <v/>
      </c>
      <c r="S118" s="54" t="str">
        <f>IF(Q118="","",IFERROR(Q118/VLOOKUP("USD",Setup!$A$38:$E$52,5,FALSE),""))</f>
        <v/>
      </c>
    </row>
    <row r="119" ht="24.0" customHeight="1">
      <c r="A119" s="78"/>
      <c r="B119" s="78"/>
      <c r="C119" s="97" t="str">
        <f t="array" ref="C119">IF(B119="","",IFERROR(INDEX(Applications!$C$6:$C$205,MATCH(B119,Applications!$A$6:$A$205,0)),""))</f>
        <v/>
      </c>
      <c r="D119" s="99"/>
      <c r="E119" s="99"/>
      <c r="F119" s="104"/>
      <c r="G119" s="99"/>
      <c r="H119" s="78"/>
      <c r="I119" s="65"/>
      <c r="J119" s="104"/>
      <c r="K119" s="99"/>
      <c r="L119" s="110" t="b">
        <v>0</v>
      </c>
      <c r="M119" s="78"/>
      <c r="N119" s="54" t="str">
        <f>IF(OR(F119="",G119=""),"",IFERROR(F119*VLOOKUP(G119,Setup!$A$38:$E$52,5,FALSE),""))</f>
        <v/>
      </c>
      <c r="O119" s="54" t="str">
        <f>IF(N119="","",IFERROR(N119/VLOOKUP("EUR",Setup!$A$38:$E$52,5,FALSE),""))</f>
        <v/>
      </c>
      <c r="P119" s="54" t="str">
        <f>IF(N119="","",IFERROR(N119/VLOOKUP("USD",Setup!$A$38:$E$52,5,FALSE),""))</f>
        <v/>
      </c>
      <c r="Q119" s="54" t="str">
        <f>IF(OR(J119="",K119=""),"",IFERROR(J119*VLOOKUP(K119,Setup!$A$38:$E$52,5,FALSE),""))</f>
        <v/>
      </c>
      <c r="R119" s="54" t="str">
        <f>IF(Q119="","",IFERROR(Q119/VLOOKUP("EUR",Setup!$A$38:$E$52,5,FALSE),""))</f>
        <v/>
      </c>
      <c r="S119" s="54" t="str">
        <f>IF(Q119="","",IFERROR(Q119/VLOOKUP("USD",Setup!$A$38:$E$52,5,FALSE),""))</f>
        <v/>
      </c>
    </row>
    <row r="120" ht="24.0" customHeight="1">
      <c r="A120" s="78"/>
      <c r="B120" s="78"/>
      <c r="C120" s="97" t="str">
        <f t="array" ref="C120">IF(B120="","",IFERROR(INDEX(Applications!$C$6:$C$205,MATCH(B120,Applications!$A$6:$A$205,0)),""))</f>
        <v/>
      </c>
      <c r="D120" s="99"/>
      <c r="E120" s="99"/>
      <c r="F120" s="104"/>
      <c r="G120" s="99"/>
      <c r="H120" s="78"/>
      <c r="I120" s="65"/>
      <c r="J120" s="104"/>
      <c r="K120" s="99"/>
      <c r="L120" s="110" t="b">
        <v>0</v>
      </c>
      <c r="M120" s="78"/>
      <c r="N120" s="54" t="str">
        <f>IF(OR(F120="",G120=""),"",IFERROR(F120*VLOOKUP(G120,Setup!$A$38:$E$52,5,FALSE),""))</f>
        <v/>
      </c>
      <c r="O120" s="54" t="str">
        <f>IF(N120="","",IFERROR(N120/VLOOKUP("EUR",Setup!$A$38:$E$52,5,FALSE),""))</f>
        <v/>
      </c>
      <c r="P120" s="54" t="str">
        <f>IF(N120="","",IFERROR(N120/VLOOKUP("USD",Setup!$A$38:$E$52,5,FALSE),""))</f>
        <v/>
      </c>
      <c r="Q120" s="54" t="str">
        <f>IF(OR(J120="",K120=""),"",IFERROR(J120*VLOOKUP(K120,Setup!$A$38:$E$52,5,FALSE),""))</f>
        <v/>
      </c>
      <c r="R120" s="54" t="str">
        <f>IF(Q120="","",IFERROR(Q120/VLOOKUP("EUR",Setup!$A$38:$E$52,5,FALSE),""))</f>
        <v/>
      </c>
      <c r="S120" s="54" t="str">
        <f>IF(Q120="","",IFERROR(Q120/VLOOKUP("USD",Setup!$A$38:$E$52,5,FALSE),""))</f>
        <v/>
      </c>
    </row>
    <row r="121" ht="24.0" customHeight="1">
      <c r="A121" s="78"/>
      <c r="B121" s="78"/>
      <c r="C121" s="97" t="str">
        <f t="array" ref="C121">IF(B121="","",IFERROR(INDEX(Applications!$C$6:$C$205,MATCH(B121,Applications!$A$6:$A$205,0)),""))</f>
        <v/>
      </c>
      <c r="D121" s="99"/>
      <c r="E121" s="99"/>
      <c r="F121" s="104"/>
      <c r="G121" s="99"/>
      <c r="H121" s="78"/>
      <c r="I121" s="65"/>
      <c r="J121" s="104"/>
      <c r="K121" s="99"/>
      <c r="L121" s="110" t="b">
        <v>0</v>
      </c>
      <c r="M121" s="78"/>
      <c r="N121" s="54" t="str">
        <f>IF(OR(F121="",G121=""),"",IFERROR(F121*VLOOKUP(G121,Setup!$A$38:$E$52,5,FALSE),""))</f>
        <v/>
      </c>
      <c r="O121" s="54" t="str">
        <f>IF(N121="","",IFERROR(N121/VLOOKUP("EUR",Setup!$A$38:$E$52,5,FALSE),""))</f>
        <v/>
      </c>
      <c r="P121" s="54" t="str">
        <f>IF(N121="","",IFERROR(N121/VLOOKUP("USD",Setup!$A$38:$E$52,5,FALSE),""))</f>
        <v/>
      </c>
      <c r="Q121" s="54" t="str">
        <f>IF(OR(J121="",K121=""),"",IFERROR(J121*VLOOKUP(K121,Setup!$A$38:$E$52,5,FALSE),""))</f>
        <v/>
      </c>
      <c r="R121" s="54" t="str">
        <f>IF(Q121="","",IFERROR(Q121/VLOOKUP("EUR",Setup!$A$38:$E$52,5,FALSE),""))</f>
        <v/>
      </c>
      <c r="S121" s="54" t="str">
        <f>IF(Q121="","",IFERROR(Q121/VLOOKUP("USD",Setup!$A$38:$E$52,5,FALSE),""))</f>
        <v/>
      </c>
    </row>
    <row r="122" ht="24.0" customHeight="1">
      <c r="A122" s="78"/>
      <c r="B122" s="78"/>
      <c r="C122" s="97" t="str">
        <f t="array" ref="C122">IF(B122="","",IFERROR(INDEX(Applications!$C$6:$C$205,MATCH(B122,Applications!$A$6:$A$205,0)),""))</f>
        <v/>
      </c>
      <c r="D122" s="99"/>
      <c r="E122" s="99"/>
      <c r="F122" s="104"/>
      <c r="G122" s="99"/>
      <c r="H122" s="78"/>
      <c r="I122" s="65"/>
      <c r="J122" s="104"/>
      <c r="K122" s="99"/>
      <c r="L122" s="110" t="b">
        <v>0</v>
      </c>
      <c r="M122" s="78"/>
      <c r="N122" s="54" t="str">
        <f>IF(OR(F122="",G122=""),"",IFERROR(F122*VLOOKUP(G122,Setup!$A$38:$E$52,5,FALSE),""))</f>
        <v/>
      </c>
      <c r="O122" s="54" t="str">
        <f>IF(N122="","",IFERROR(N122/VLOOKUP("EUR",Setup!$A$38:$E$52,5,FALSE),""))</f>
        <v/>
      </c>
      <c r="P122" s="54" t="str">
        <f>IF(N122="","",IFERROR(N122/VLOOKUP("USD",Setup!$A$38:$E$52,5,FALSE),""))</f>
        <v/>
      </c>
      <c r="Q122" s="54" t="str">
        <f>IF(OR(J122="",K122=""),"",IFERROR(J122*VLOOKUP(K122,Setup!$A$38:$E$52,5,FALSE),""))</f>
        <v/>
      </c>
      <c r="R122" s="54" t="str">
        <f>IF(Q122="","",IFERROR(Q122/VLOOKUP("EUR",Setup!$A$38:$E$52,5,FALSE),""))</f>
        <v/>
      </c>
      <c r="S122" s="54" t="str">
        <f>IF(Q122="","",IFERROR(Q122/VLOOKUP("USD",Setup!$A$38:$E$52,5,FALSE),""))</f>
        <v/>
      </c>
    </row>
    <row r="123" ht="24.0" customHeight="1">
      <c r="A123" s="78"/>
      <c r="B123" s="78"/>
      <c r="C123" s="97" t="str">
        <f t="array" ref="C123">IF(B123="","",IFERROR(INDEX(Applications!$C$6:$C$205,MATCH(B123,Applications!$A$6:$A$205,0)),""))</f>
        <v/>
      </c>
      <c r="D123" s="99"/>
      <c r="E123" s="99"/>
      <c r="F123" s="104"/>
      <c r="G123" s="99"/>
      <c r="H123" s="78"/>
      <c r="I123" s="65"/>
      <c r="J123" s="104"/>
      <c r="K123" s="99"/>
      <c r="L123" s="110" t="b">
        <v>0</v>
      </c>
      <c r="M123" s="78"/>
      <c r="N123" s="54" t="str">
        <f>IF(OR(F123="",G123=""),"",IFERROR(F123*VLOOKUP(G123,Setup!$A$38:$E$52,5,FALSE),""))</f>
        <v/>
      </c>
      <c r="O123" s="54" t="str">
        <f>IF(N123="","",IFERROR(N123/VLOOKUP("EUR",Setup!$A$38:$E$52,5,FALSE),""))</f>
        <v/>
      </c>
      <c r="P123" s="54" t="str">
        <f>IF(N123="","",IFERROR(N123/VLOOKUP("USD",Setup!$A$38:$E$52,5,FALSE),""))</f>
        <v/>
      </c>
      <c r="Q123" s="54" t="str">
        <f>IF(OR(J123="",K123=""),"",IFERROR(J123*VLOOKUP(K123,Setup!$A$38:$E$52,5,FALSE),""))</f>
        <v/>
      </c>
      <c r="R123" s="54" t="str">
        <f>IF(Q123="","",IFERROR(Q123/VLOOKUP("EUR",Setup!$A$38:$E$52,5,FALSE),""))</f>
        <v/>
      </c>
      <c r="S123" s="54" t="str">
        <f>IF(Q123="","",IFERROR(Q123/VLOOKUP("USD",Setup!$A$38:$E$52,5,FALSE),""))</f>
        <v/>
      </c>
    </row>
    <row r="124" ht="24.0" customHeight="1">
      <c r="A124" s="78"/>
      <c r="B124" s="78"/>
      <c r="C124" s="97" t="str">
        <f t="array" ref="C124">IF(B124="","",IFERROR(INDEX(Applications!$C$6:$C$205,MATCH(B124,Applications!$A$6:$A$205,0)),""))</f>
        <v/>
      </c>
      <c r="D124" s="99"/>
      <c r="E124" s="99"/>
      <c r="F124" s="104"/>
      <c r="G124" s="99"/>
      <c r="H124" s="78"/>
      <c r="I124" s="65"/>
      <c r="J124" s="104"/>
      <c r="K124" s="99"/>
      <c r="L124" s="110" t="b">
        <v>0</v>
      </c>
      <c r="M124" s="78"/>
      <c r="N124" s="54" t="str">
        <f>IF(OR(F124="",G124=""),"",IFERROR(F124*VLOOKUP(G124,Setup!$A$38:$E$52,5,FALSE),""))</f>
        <v/>
      </c>
      <c r="O124" s="54" t="str">
        <f>IF(N124="","",IFERROR(N124/VLOOKUP("EUR",Setup!$A$38:$E$52,5,FALSE),""))</f>
        <v/>
      </c>
      <c r="P124" s="54" t="str">
        <f>IF(N124="","",IFERROR(N124/VLOOKUP("USD",Setup!$A$38:$E$52,5,FALSE),""))</f>
        <v/>
      </c>
      <c r="Q124" s="54" t="str">
        <f>IF(OR(J124="",K124=""),"",IFERROR(J124*VLOOKUP(K124,Setup!$A$38:$E$52,5,FALSE),""))</f>
        <v/>
      </c>
      <c r="R124" s="54" t="str">
        <f>IF(Q124="","",IFERROR(Q124/VLOOKUP("EUR",Setup!$A$38:$E$52,5,FALSE),""))</f>
        <v/>
      </c>
      <c r="S124" s="54" t="str">
        <f>IF(Q124="","",IFERROR(Q124/VLOOKUP("USD",Setup!$A$38:$E$52,5,FALSE),""))</f>
        <v/>
      </c>
    </row>
    <row r="125" ht="24.0" customHeight="1">
      <c r="A125" s="78"/>
      <c r="B125" s="78"/>
      <c r="C125" s="97" t="str">
        <f t="array" ref="C125">IF(B125="","",IFERROR(INDEX(Applications!$C$6:$C$205,MATCH(B125,Applications!$A$6:$A$205,0)),""))</f>
        <v/>
      </c>
      <c r="D125" s="99"/>
      <c r="E125" s="99"/>
      <c r="F125" s="104"/>
      <c r="G125" s="99"/>
      <c r="H125" s="78"/>
      <c r="I125" s="65"/>
      <c r="J125" s="104"/>
      <c r="K125" s="99"/>
      <c r="L125" s="110" t="b">
        <v>0</v>
      </c>
      <c r="M125" s="78"/>
      <c r="N125" s="54" t="str">
        <f>IF(OR(F125="",G125=""),"",IFERROR(F125*VLOOKUP(G125,Setup!$A$38:$E$52,5,FALSE),""))</f>
        <v/>
      </c>
      <c r="O125" s="54" t="str">
        <f>IF(N125="","",IFERROR(N125/VLOOKUP("EUR",Setup!$A$38:$E$52,5,FALSE),""))</f>
        <v/>
      </c>
      <c r="P125" s="54" t="str">
        <f>IF(N125="","",IFERROR(N125/VLOOKUP("USD",Setup!$A$38:$E$52,5,FALSE),""))</f>
        <v/>
      </c>
      <c r="Q125" s="54" t="str">
        <f>IF(OR(J125="",K125=""),"",IFERROR(J125*VLOOKUP(K125,Setup!$A$38:$E$52,5,FALSE),""))</f>
        <v/>
      </c>
      <c r="R125" s="54" t="str">
        <f>IF(Q125="","",IFERROR(Q125/VLOOKUP("EUR",Setup!$A$38:$E$52,5,FALSE),""))</f>
        <v/>
      </c>
      <c r="S125" s="54" t="str">
        <f>IF(Q125="","",IFERROR(Q125/VLOOKUP("USD",Setup!$A$38:$E$52,5,FALSE),""))</f>
        <v/>
      </c>
    </row>
    <row r="126" ht="24.0" customHeight="1">
      <c r="A126" s="78"/>
      <c r="B126" s="78"/>
      <c r="C126" s="97" t="str">
        <f t="array" ref="C126">IF(B126="","",IFERROR(INDEX(Applications!$C$6:$C$205,MATCH(B126,Applications!$A$6:$A$205,0)),""))</f>
        <v/>
      </c>
      <c r="D126" s="99"/>
      <c r="E126" s="99"/>
      <c r="F126" s="104"/>
      <c r="G126" s="99"/>
      <c r="H126" s="78"/>
      <c r="I126" s="65"/>
      <c r="J126" s="104"/>
      <c r="K126" s="99"/>
      <c r="L126" s="110" t="b">
        <v>0</v>
      </c>
      <c r="M126" s="78"/>
      <c r="N126" s="54" t="str">
        <f>IF(OR(F126="",G126=""),"",IFERROR(F126*VLOOKUP(G126,Setup!$A$38:$E$52,5,FALSE),""))</f>
        <v/>
      </c>
      <c r="O126" s="54" t="str">
        <f>IF(N126="","",IFERROR(N126/VLOOKUP("EUR",Setup!$A$38:$E$52,5,FALSE),""))</f>
        <v/>
      </c>
      <c r="P126" s="54" t="str">
        <f>IF(N126="","",IFERROR(N126/VLOOKUP("USD",Setup!$A$38:$E$52,5,FALSE),""))</f>
        <v/>
      </c>
      <c r="Q126" s="54" t="str">
        <f>IF(OR(J126="",K126=""),"",IFERROR(J126*VLOOKUP(K126,Setup!$A$38:$E$52,5,FALSE),""))</f>
        <v/>
      </c>
      <c r="R126" s="54" t="str">
        <f>IF(Q126="","",IFERROR(Q126/VLOOKUP("EUR",Setup!$A$38:$E$52,5,FALSE),""))</f>
        <v/>
      </c>
      <c r="S126" s="54" t="str">
        <f>IF(Q126="","",IFERROR(Q126/VLOOKUP("USD",Setup!$A$38:$E$52,5,FALSE),""))</f>
        <v/>
      </c>
    </row>
    <row r="127" ht="24.0" customHeight="1">
      <c r="A127" s="78"/>
      <c r="B127" s="78"/>
      <c r="C127" s="97" t="str">
        <f t="array" ref="C127">IF(B127="","",IFERROR(INDEX(Applications!$C$6:$C$205,MATCH(B127,Applications!$A$6:$A$205,0)),""))</f>
        <v/>
      </c>
      <c r="D127" s="99"/>
      <c r="E127" s="99"/>
      <c r="F127" s="104"/>
      <c r="G127" s="99"/>
      <c r="H127" s="78"/>
      <c r="I127" s="65"/>
      <c r="J127" s="104"/>
      <c r="K127" s="99"/>
      <c r="L127" s="110" t="b">
        <v>0</v>
      </c>
      <c r="M127" s="78"/>
      <c r="N127" s="54" t="str">
        <f>IF(OR(F127="",G127=""),"",IFERROR(F127*VLOOKUP(G127,Setup!$A$38:$E$52,5,FALSE),""))</f>
        <v/>
      </c>
      <c r="O127" s="54" t="str">
        <f>IF(N127="","",IFERROR(N127/VLOOKUP("EUR",Setup!$A$38:$E$52,5,FALSE),""))</f>
        <v/>
      </c>
      <c r="P127" s="54" t="str">
        <f>IF(N127="","",IFERROR(N127/VLOOKUP("USD",Setup!$A$38:$E$52,5,FALSE),""))</f>
        <v/>
      </c>
      <c r="Q127" s="54" t="str">
        <f>IF(OR(J127="",K127=""),"",IFERROR(J127*VLOOKUP(K127,Setup!$A$38:$E$52,5,FALSE),""))</f>
        <v/>
      </c>
      <c r="R127" s="54" t="str">
        <f>IF(Q127="","",IFERROR(Q127/VLOOKUP("EUR",Setup!$A$38:$E$52,5,FALSE),""))</f>
        <v/>
      </c>
      <c r="S127" s="54" t="str">
        <f>IF(Q127="","",IFERROR(Q127/VLOOKUP("USD",Setup!$A$38:$E$52,5,FALSE),""))</f>
        <v/>
      </c>
    </row>
    <row r="128" ht="24.0" customHeight="1">
      <c r="A128" s="78"/>
      <c r="B128" s="78"/>
      <c r="C128" s="97" t="str">
        <f t="array" ref="C128">IF(B128="","",IFERROR(INDEX(Applications!$C$6:$C$205,MATCH(B128,Applications!$A$6:$A$205,0)),""))</f>
        <v/>
      </c>
      <c r="D128" s="99"/>
      <c r="E128" s="99"/>
      <c r="F128" s="104"/>
      <c r="G128" s="99"/>
      <c r="H128" s="78"/>
      <c r="I128" s="65"/>
      <c r="J128" s="104"/>
      <c r="K128" s="99"/>
      <c r="L128" s="110" t="b">
        <v>0</v>
      </c>
      <c r="M128" s="78"/>
      <c r="N128" s="54" t="str">
        <f>IF(OR(F128="",G128=""),"",IFERROR(F128*VLOOKUP(G128,Setup!$A$38:$E$52,5,FALSE),""))</f>
        <v/>
      </c>
      <c r="O128" s="54" t="str">
        <f>IF(N128="","",IFERROR(N128/VLOOKUP("EUR",Setup!$A$38:$E$52,5,FALSE),""))</f>
        <v/>
      </c>
      <c r="P128" s="54" t="str">
        <f>IF(N128="","",IFERROR(N128/VLOOKUP("USD",Setup!$A$38:$E$52,5,FALSE),""))</f>
        <v/>
      </c>
      <c r="Q128" s="54" t="str">
        <f>IF(OR(J128="",K128=""),"",IFERROR(J128*VLOOKUP(K128,Setup!$A$38:$E$52,5,FALSE),""))</f>
        <v/>
      </c>
      <c r="R128" s="54" t="str">
        <f>IF(Q128="","",IFERROR(Q128/VLOOKUP("EUR",Setup!$A$38:$E$52,5,FALSE),""))</f>
        <v/>
      </c>
      <c r="S128" s="54" t="str">
        <f>IF(Q128="","",IFERROR(Q128/VLOOKUP("USD",Setup!$A$38:$E$52,5,FALSE),""))</f>
        <v/>
      </c>
    </row>
    <row r="129" ht="24.0" customHeight="1">
      <c r="A129" s="78"/>
      <c r="B129" s="78"/>
      <c r="C129" s="97" t="str">
        <f t="array" ref="C129">IF(B129="","",IFERROR(INDEX(Applications!$C$6:$C$205,MATCH(B129,Applications!$A$6:$A$205,0)),""))</f>
        <v/>
      </c>
      <c r="D129" s="99"/>
      <c r="E129" s="99"/>
      <c r="F129" s="104"/>
      <c r="G129" s="99"/>
      <c r="H129" s="78"/>
      <c r="I129" s="65"/>
      <c r="J129" s="104"/>
      <c r="K129" s="99"/>
      <c r="L129" s="110" t="b">
        <v>0</v>
      </c>
      <c r="M129" s="78"/>
      <c r="N129" s="54" t="str">
        <f>IF(OR(F129="",G129=""),"",IFERROR(F129*VLOOKUP(G129,Setup!$A$38:$E$52,5,FALSE),""))</f>
        <v/>
      </c>
      <c r="O129" s="54" t="str">
        <f>IF(N129="","",IFERROR(N129/VLOOKUP("EUR",Setup!$A$38:$E$52,5,FALSE),""))</f>
        <v/>
      </c>
      <c r="P129" s="54" t="str">
        <f>IF(N129="","",IFERROR(N129/VLOOKUP("USD",Setup!$A$38:$E$52,5,FALSE),""))</f>
        <v/>
      </c>
      <c r="Q129" s="54" t="str">
        <f>IF(OR(J129="",K129=""),"",IFERROR(J129*VLOOKUP(K129,Setup!$A$38:$E$52,5,FALSE),""))</f>
        <v/>
      </c>
      <c r="R129" s="54" t="str">
        <f>IF(Q129="","",IFERROR(Q129/VLOOKUP("EUR",Setup!$A$38:$E$52,5,FALSE),""))</f>
        <v/>
      </c>
      <c r="S129" s="54" t="str">
        <f>IF(Q129="","",IFERROR(Q129/VLOOKUP("USD",Setup!$A$38:$E$52,5,FALSE),""))</f>
        <v/>
      </c>
    </row>
    <row r="130" ht="24.0" customHeight="1">
      <c r="A130" s="78"/>
      <c r="B130" s="78"/>
      <c r="C130" s="97" t="str">
        <f t="array" ref="C130">IF(B130="","",IFERROR(INDEX(Applications!$C$6:$C$205,MATCH(B130,Applications!$A$6:$A$205,0)),""))</f>
        <v/>
      </c>
      <c r="D130" s="99"/>
      <c r="E130" s="99"/>
      <c r="F130" s="104"/>
      <c r="G130" s="99"/>
      <c r="H130" s="78"/>
      <c r="I130" s="65"/>
      <c r="J130" s="104"/>
      <c r="K130" s="99"/>
      <c r="L130" s="110" t="b">
        <v>0</v>
      </c>
      <c r="M130" s="78"/>
      <c r="N130" s="54" t="str">
        <f>IF(OR(F130="",G130=""),"",IFERROR(F130*VLOOKUP(G130,Setup!$A$38:$E$52,5,FALSE),""))</f>
        <v/>
      </c>
      <c r="O130" s="54" t="str">
        <f>IF(N130="","",IFERROR(N130/VLOOKUP("EUR",Setup!$A$38:$E$52,5,FALSE),""))</f>
        <v/>
      </c>
      <c r="P130" s="54" t="str">
        <f>IF(N130="","",IFERROR(N130/VLOOKUP("USD",Setup!$A$38:$E$52,5,FALSE),""))</f>
        <v/>
      </c>
      <c r="Q130" s="54" t="str">
        <f>IF(OR(J130="",K130=""),"",IFERROR(J130*VLOOKUP(K130,Setup!$A$38:$E$52,5,FALSE),""))</f>
        <v/>
      </c>
      <c r="R130" s="54" t="str">
        <f>IF(Q130="","",IFERROR(Q130/VLOOKUP("EUR",Setup!$A$38:$E$52,5,FALSE),""))</f>
        <v/>
      </c>
      <c r="S130" s="54" t="str">
        <f>IF(Q130="","",IFERROR(Q130/VLOOKUP("USD",Setup!$A$38:$E$52,5,FALSE),""))</f>
        <v/>
      </c>
    </row>
    <row r="131" ht="24.0" customHeight="1">
      <c r="A131" s="78"/>
      <c r="B131" s="78"/>
      <c r="C131" s="97" t="str">
        <f t="array" ref="C131">IF(B131="","",IFERROR(INDEX(Applications!$C$6:$C$205,MATCH(B131,Applications!$A$6:$A$205,0)),""))</f>
        <v/>
      </c>
      <c r="D131" s="99"/>
      <c r="E131" s="99"/>
      <c r="F131" s="104"/>
      <c r="G131" s="99"/>
      <c r="H131" s="78"/>
      <c r="I131" s="65"/>
      <c r="J131" s="104"/>
      <c r="K131" s="99"/>
      <c r="L131" s="110" t="b">
        <v>0</v>
      </c>
      <c r="M131" s="78"/>
      <c r="N131" s="54" t="str">
        <f>IF(OR(F131="",G131=""),"",IFERROR(F131*VLOOKUP(G131,Setup!$A$38:$E$52,5,FALSE),""))</f>
        <v/>
      </c>
      <c r="O131" s="54" t="str">
        <f>IF(N131="","",IFERROR(N131/VLOOKUP("EUR",Setup!$A$38:$E$52,5,FALSE),""))</f>
        <v/>
      </c>
      <c r="P131" s="54" t="str">
        <f>IF(N131="","",IFERROR(N131/VLOOKUP("USD",Setup!$A$38:$E$52,5,FALSE),""))</f>
        <v/>
      </c>
      <c r="Q131" s="54" t="str">
        <f>IF(OR(J131="",K131=""),"",IFERROR(J131*VLOOKUP(K131,Setup!$A$38:$E$52,5,FALSE),""))</f>
        <v/>
      </c>
      <c r="R131" s="54" t="str">
        <f>IF(Q131="","",IFERROR(Q131/VLOOKUP("EUR",Setup!$A$38:$E$52,5,FALSE),""))</f>
        <v/>
      </c>
      <c r="S131" s="54" t="str">
        <f>IF(Q131="","",IFERROR(Q131/VLOOKUP("USD",Setup!$A$38:$E$52,5,FALSE),""))</f>
        <v/>
      </c>
    </row>
    <row r="132" ht="24.0" customHeight="1">
      <c r="A132" s="78"/>
      <c r="B132" s="78"/>
      <c r="C132" s="97" t="str">
        <f t="array" ref="C132">IF(B132="","",IFERROR(INDEX(Applications!$C$6:$C$205,MATCH(B132,Applications!$A$6:$A$205,0)),""))</f>
        <v/>
      </c>
      <c r="D132" s="99"/>
      <c r="E132" s="99"/>
      <c r="F132" s="104"/>
      <c r="G132" s="99"/>
      <c r="H132" s="78"/>
      <c r="I132" s="65"/>
      <c r="J132" s="104"/>
      <c r="K132" s="99"/>
      <c r="L132" s="110" t="b">
        <v>0</v>
      </c>
      <c r="M132" s="78"/>
      <c r="N132" s="54" t="str">
        <f>IF(OR(F132="",G132=""),"",IFERROR(F132*VLOOKUP(G132,Setup!$A$38:$E$52,5,FALSE),""))</f>
        <v/>
      </c>
      <c r="O132" s="54" t="str">
        <f>IF(N132="","",IFERROR(N132/VLOOKUP("EUR",Setup!$A$38:$E$52,5,FALSE),""))</f>
        <v/>
      </c>
      <c r="P132" s="54" t="str">
        <f>IF(N132="","",IFERROR(N132/VLOOKUP("USD",Setup!$A$38:$E$52,5,FALSE),""))</f>
        <v/>
      </c>
      <c r="Q132" s="54" t="str">
        <f>IF(OR(J132="",K132=""),"",IFERROR(J132*VLOOKUP(K132,Setup!$A$38:$E$52,5,FALSE),""))</f>
        <v/>
      </c>
      <c r="R132" s="54" t="str">
        <f>IF(Q132="","",IFERROR(Q132/VLOOKUP("EUR",Setup!$A$38:$E$52,5,FALSE),""))</f>
        <v/>
      </c>
      <c r="S132" s="54" t="str">
        <f>IF(Q132="","",IFERROR(Q132/VLOOKUP("USD",Setup!$A$38:$E$52,5,FALSE),""))</f>
        <v/>
      </c>
    </row>
    <row r="133" ht="24.0" customHeight="1">
      <c r="A133" s="78"/>
      <c r="B133" s="78"/>
      <c r="C133" s="97" t="str">
        <f t="array" ref="C133">IF(B133="","",IFERROR(INDEX(Applications!$C$6:$C$205,MATCH(B133,Applications!$A$6:$A$205,0)),""))</f>
        <v/>
      </c>
      <c r="D133" s="99"/>
      <c r="E133" s="99"/>
      <c r="F133" s="104"/>
      <c r="G133" s="99"/>
      <c r="H133" s="78"/>
      <c r="I133" s="65"/>
      <c r="J133" s="104"/>
      <c r="K133" s="99"/>
      <c r="L133" s="110" t="b">
        <v>0</v>
      </c>
      <c r="M133" s="78"/>
      <c r="N133" s="54" t="str">
        <f>IF(OR(F133="",G133=""),"",IFERROR(F133*VLOOKUP(G133,Setup!$A$38:$E$52,5,FALSE),""))</f>
        <v/>
      </c>
      <c r="O133" s="54" t="str">
        <f>IF(N133="","",IFERROR(N133/VLOOKUP("EUR",Setup!$A$38:$E$52,5,FALSE),""))</f>
        <v/>
      </c>
      <c r="P133" s="54" t="str">
        <f>IF(N133="","",IFERROR(N133/VLOOKUP("USD",Setup!$A$38:$E$52,5,FALSE),""))</f>
        <v/>
      </c>
      <c r="Q133" s="54" t="str">
        <f>IF(OR(J133="",K133=""),"",IFERROR(J133*VLOOKUP(K133,Setup!$A$38:$E$52,5,FALSE),""))</f>
        <v/>
      </c>
      <c r="R133" s="54" t="str">
        <f>IF(Q133="","",IFERROR(Q133/VLOOKUP("EUR",Setup!$A$38:$E$52,5,FALSE),""))</f>
        <v/>
      </c>
      <c r="S133" s="54" t="str">
        <f>IF(Q133="","",IFERROR(Q133/VLOOKUP("USD",Setup!$A$38:$E$52,5,FALSE),""))</f>
        <v/>
      </c>
    </row>
    <row r="134" ht="24.0" customHeight="1">
      <c r="A134" s="78"/>
      <c r="B134" s="78"/>
      <c r="C134" s="97" t="str">
        <f t="array" ref="C134">IF(B134="","",IFERROR(INDEX(Applications!$C$6:$C$205,MATCH(B134,Applications!$A$6:$A$205,0)),""))</f>
        <v/>
      </c>
      <c r="D134" s="99"/>
      <c r="E134" s="99"/>
      <c r="F134" s="104"/>
      <c r="G134" s="99"/>
      <c r="H134" s="78"/>
      <c r="I134" s="65"/>
      <c r="J134" s="104"/>
      <c r="K134" s="99"/>
      <c r="L134" s="110" t="b">
        <v>0</v>
      </c>
      <c r="M134" s="78"/>
      <c r="N134" s="54" t="str">
        <f>IF(OR(F134="",G134=""),"",IFERROR(F134*VLOOKUP(G134,Setup!$A$38:$E$52,5,FALSE),""))</f>
        <v/>
      </c>
      <c r="O134" s="54" t="str">
        <f>IF(N134="","",IFERROR(N134/VLOOKUP("EUR",Setup!$A$38:$E$52,5,FALSE),""))</f>
        <v/>
      </c>
      <c r="P134" s="54" t="str">
        <f>IF(N134="","",IFERROR(N134/VLOOKUP("USD",Setup!$A$38:$E$52,5,FALSE),""))</f>
        <v/>
      </c>
      <c r="Q134" s="54" t="str">
        <f>IF(OR(J134="",K134=""),"",IFERROR(J134*VLOOKUP(K134,Setup!$A$38:$E$52,5,FALSE),""))</f>
        <v/>
      </c>
      <c r="R134" s="54" t="str">
        <f>IF(Q134="","",IFERROR(Q134/VLOOKUP("EUR",Setup!$A$38:$E$52,5,FALSE),""))</f>
        <v/>
      </c>
      <c r="S134" s="54" t="str">
        <f>IF(Q134="","",IFERROR(Q134/VLOOKUP("USD",Setup!$A$38:$E$52,5,FALSE),""))</f>
        <v/>
      </c>
    </row>
    <row r="135" ht="24.0" customHeight="1">
      <c r="A135" s="78"/>
      <c r="B135" s="78"/>
      <c r="C135" s="97" t="str">
        <f t="array" ref="C135">IF(B135="","",IFERROR(INDEX(Applications!$C$6:$C$205,MATCH(B135,Applications!$A$6:$A$205,0)),""))</f>
        <v/>
      </c>
      <c r="D135" s="99"/>
      <c r="E135" s="99"/>
      <c r="F135" s="104"/>
      <c r="G135" s="99"/>
      <c r="H135" s="78"/>
      <c r="I135" s="65"/>
      <c r="J135" s="104"/>
      <c r="K135" s="99"/>
      <c r="L135" s="110" t="b">
        <v>0</v>
      </c>
      <c r="M135" s="78"/>
      <c r="N135" s="54" t="str">
        <f>IF(OR(F135="",G135=""),"",IFERROR(F135*VLOOKUP(G135,Setup!$A$38:$E$52,5,FALSE),""))</f>
        <v/>
      </c>
      <c r="O135" s="54" t="str">
        <f>IF(N135="","",IFERROR(N135/VLOOKUP("EUR",Setup!$A$38:$E$52,5,FALSE),""))</f>
        <v/>
      </c>
      <c r="P135" s="54" t="str">
        <f>IF(N135="","",IFERROR(N135/VLOOKUP("USD",Setup!$A$38:$E$52,5,FALSE),""))</f>
        <v/>
      </c>
      <c r="Q135" s="54" t="str">
        <f>IF(OR(J135="",K135=""),"",IFERROR(J135*VLOOKUP(K135,Setup!$A$38:$E$52,5,FALSE),""))</f>
        <v/>
      </c>
      <c r="R135" s="54" t="str">
        <f>IF(Q135="","",IFERROR(Q135/VLOOKUP("EUR",Setup!$A$38:$E$52,5,FALSE),""))</f>
        <v/>
      </c>
      <c r="S135" s="54" t="str">
        <f>IF(Q135="","",IFERROR(Q135/VLOOKUP("USD",Setup!$A$38:$E$52,5,FALSE),""))</f>
        <v/>
      </c>
    </row>
    <row r="136" ht="24.0" customHeight="1">
      <c r="A136" s="78"/>
      <c r="B136" s="78"/>
      <c r="C136" s="97" t="str">
        <f t="array" ref="C136">IF(B136="","",IFERROR(INDEX(Applications!$C$6:$C$205,MATCH(B136,Applications!$A$6:$A$205,0)),""))</f>
        <v/>
      </c>
      <c r="D136" s="99"/>
      <c r="E136" s="99"/>
      <c r="F136" s="104"/>
      <c r="G136" s="99"/>
      <c r="H136" s="78"/>
      <c r="I136" s="65"/>
      <c r="J136" s="104"/>
      <c r="K136" s="99"/>
      <c r="L136" s="110" t="b">
        <v>0</v>
      </c>
      <c r="M136" s="78"/>
      <c r="N136" s="54" t="str">
        <f>IF(OR(F136="",G136=""),"",IFERROR(F136*VLOOKUP(G136,Setup!$A$38:$E$52,5,FALSE),""))</f>
        <v/>
      </c>
      <c r="O136" s="54" t="str">
        <f>IF(N136="","",IFERROR(N136/VLOOKUP("EUR",Setup!$A$38:$E$52,5,FALSE),""))</f>
        <v/>
      </c>
      <c r="P136" s="54" t="str">
        <f>IF(N136="","",IFERROR(N136/VLOOKUP("USD",Setup!$A$38:$E$52,5,FALSE),""))</f>
        <v/>
      </c>
      <c r="Q136" s="54" t="str">
        <f>IF(OR(J136="",K136=""),"",IFERROR(J136*VLOOKUP(K136,Setup!$A$38:$E$52,5,FALSE),""))</f>
        <v/>
      </c>
      <c r="R136" s="54" t="str">
        <f>IF(Q136="","",IFERROR(Q136/VLOOKUP("EUR",Setup!$A$38:$E$52,5,FALSE),""))</f>
        <v/>
      </c>
      <c r="S136" s="54" t="str">
        <f>IF(Q136="","",IFERROR(Q136/VLOOKUP("USD",Setup!$A$38:$E$52,5,FALSE),""))</f>
        <v/>
      </c>
    </row>
    <row r="137" ht="24.0" customHeight="1">
      <c r="A137" s="78"/>
      <c r="B137" s="78"/>
      <c r="C137" s="97" t="str">
        <f t="array" ref="C137">IF(B137="","",IFERROR(INDEX(Applications!$C$6:$C$205,MATCH(B137,Applications!$A$6:$A$205,0)),""))</f>
        <v/>
      </c>
      <c r="D137" s="99"/>
      <c r="E137" s="99"/>
      <c r="F137" s="104"/>
      <c r="G137" s="99"/>
      <c r="H137" s="78"/>
      <c r="I137" s="65"/>
      <c r="J137" s="104"/>
      <c r="K137" s="99"/>
      <c r="L137" s="110" t="b">
        <v>0</v>
      </c>
      <c r="M137" s="78"/>
      <c r="N137" s="54" t="str">
        <f>IF(OR(F137="",G137=""),"",IFERROR(F137*VLOOKUP(G137,Setup!$A$38:$E$52,5,FALSE),""))</f>
        <v/>
      </c>
      <c r="O137" s="54" t="str">
        <f>IF(N137="","",IFERROR(N137/VLOOKUP("EUR",Setup!$A$38:$E$52,5,FALSE),""))</f>
        <v/>
      </c>
      <c r="P137" s="54" t="str">
        <f>IF(N137="","",IFERROR(N137/VLOOKUP("USD",Setup!$A$38:$E$52,5,FALSE),""))</f>
        <v/>
      </c>
      <c r="Q137" s="54" t="str">
        <f>IF(OR(J137="",K137=""),"",IFERROR(J137*VLOOKUP(K137,Setup!$A$38:$E$52,5,FALSE),""))</f>
        <v/>
      </c>
      <c r="R137" s="54" t="str">
        <f>IF(Q137="","",IFERROR(Q137/VLOOKUP("EUR",Setup!$A$38:$E$52,5,FALSE),""))</f>
        <v/>
      </c>
      <c r="S137" s="54" t="str">
        <f>IF(Q137="","",IFERROR(Q137/VLOOKUP("USD",Setup!$A$38:$E$52,5,FALSE),""))</f>
        <v/>
      </c>
    </row>
    <row r="138" ht="24.0" customHeight="1">
      <c r="A138" s="78"/>
      <c r="B138" s="78"/>
      <c r="C138" s="97" t="str">
        <f t="array" ref="C138">IF(B138="","",IFERROR(INDEX(Applications!$C$6:$C$205,MATCH(B138,Applications!$A$6:$A$205,0)),""))</f>
        <v/>
      </c>
      <c r="D138" s="99"/>
      <c r="E138" s="99"/>
      <c r="F138" s="104"/>
      <c r="G138" s="99"/>
      <c r="H138" s="78"/>
      <c r="I138" s="65"/>
      <c r="J138" s="104"/>
      <c r="K138" s="99"/>
      <c r="L138" s="110" t="b">
        <v>0</v>
      </c>
      <c r="M138" s="78"/>
      <c r="N138" s="54" t="str">
        <f>IF(OR(F138="",G138=""),"",IFERROR(F138*VLOOKUP(G138,Setup!$A$38:$E$52,5,FALSE),""))</f>
        <v/>
      </c>
      <c r="O138" s="54" t="str">
        <f>IF(N138="","",IFERROR(N138/VLOOKUP("EUR",Setup!$A$38:$E$52,5,FALSE),""))</f>
        <v/>
      </c>
      <c r="P138" s="54" t="str">
        <f>IF(N138="","",IFERROR(N138/VLOOKUP("USD",Setup!$A$38:$E$52,5,FALSE),""))</f>
        <v/>
      </c>
      <c r="Q138" s="54" t="str">
        <f>IF(OR(J138="",K138=""),"",IFERROR(J138*VLOOKUP(K138,Setup!$A$38:$E$52,5,FALSE),""))</f>
        <v/>
      </c>
      <c r="R138" s="54" t="str">
        <f>IF(Q138="","",IFERROR(Q138/VLOOKUP("EUR",Setup!$A$38:$E$52,5,FALSE),""))</f>
        <v/>
      </c>
      <c r="S138" s="54" t="str">
        <f>IF(Q138="","",IFERROR(Q138/VLOOKUP("USD",Setup!$A$38:$E$52,5,FALSE),""))</f>
        <v/>
      </c>
    </row>
    <row r="139" ht="24.0" customHeight="1">
      <c r="A139" s="78"/>
      <c r="B139" s="78"/>
      <c r="C139" s="97" t="str">
        <f t="array" ref="C139">IF(B139="","",IFERROR(INDEX(Applications!$C$6:$C$205,MATCH(B139,Applications!$A$6:$A$205,0)),""))</f>
        <v/>
      </c>
      <c r="D139" s="99"/>
      <c r="E139" s="99"/>
      <c r="F139" s="104"/>
      <c r="G139" s="99"/>
      <c r="H139" s="78"/>
      <c r="I139" s="65"/>
      <c r="J139" s="104"/>
      <c r="K139" s="99"/>
      <c r="L139" s="110" t="b">
        <v>0</v>
      </c>
      <c r="M139" s="78"/>
      <c r="N139" s="54" t="str">
        <f>IF(OR(F139="",G139=""),"",IFERROR(F139*VLOOKUP(G139,Setup!$A$38:$E$52,5,FALSE),""))</f>
        <v/>
      </c>
      <c r="O139" s="54" t="str">
        <f>IF(N139="","",IFERROR(N139/VLOOKUP("EUR",Setup!$A$38:$E$52,5,FALSE),""))</f>
        <v/>
      </c>
      <c r="P139" s="54" t="str">
        <f>IF(N139="","",IFERROR(N139/VLOOKUP("USD",Setup!$A$38:$E$52,5,FALSE),""))</f>
        <v/>
      </c>
      <c r="Q139" s="54" t="str">
        <f>IF(OR(J139="",K139=""),"",IFERROR(J139*VLOOKUP(K139,Setup!$A$38:$E$52,5,FALSE),""))</f>
        <v/>
      </c>
      <c r="R139" s="54" t="str">
        <f>IF(Q139="","",IFERROR(Q139/VLOOKUP("EUR",Setup!$A$38:$E$52,5,FALSE),""))</f>
        <v/>
      </c>
      <c r="S139" s="54" t="str">
        <f>IF(Q139="","",IFERROR(Q139/VLOOKUP("USD",Setup!$A$38:$E$52,5,FALSE),""))</f>
        <v/>
      </c>
    </row>
    <row r="140" ht="24.0" customHeight="1">
      <c r="A140" s="78"/>
      <c r="B140" s="78"/>
      <c r="C140" s="97" t="str">
        <f t="array" ref="C140">IF(B140="","",IFERROR(INDEX(Applications!$C$6:$C$205,MATCH(B140,Applications!$A$6:$A$205,0)),""))</f>
        <v/>
      </c>
      <c r="D140" s="99"/>
      <c r="E140" s="99"/>
      <c r="F140" s="104"/>
      <c r="G140" s="99"/>
      <c r="H140" s="78"/>
      <c r="I140" s="65"/>
      <c r="J140" s="104"/>
      <c r="K140" s="99"/>
      <c r="L140" s="110" t="b">
        <v>0</v>
      </c>
      <c r="M140" s="78"/>
      <c r="N140" s="54" t="str">
        <f>IF(OR(F140="",G140=""),"",IFERROR(F140*VLOOKUP(G140,Setup!$A$38:$E$52,5,FALSE),""))</f>
        <v/>
      </c>
      <c r="O140" s="54" t="str">
        <f>IF(N140="","",IFERROR(N140/VLOOKUP("EUR",Setup!$A$38:$E$52,5,FALSE),""))</f>
        <v/>
      </c>
      <c r="P140" s="54" t="str">
        <f>IF(N140="","",IFERROR(N140/VLOOKUP("USD",Setup!$A$38:$E$52,5,FALSE),""))</f>
        <v/>
      </c>
      <c r="Q140" s="54" t="str">
        <f>IF(OR(J140="",K140=""),"",IFERROR(J140*VLOOKUP(K140,Setup!$A$38:$E$52,5,FALSE),""))</f>
        <v/>
      </c>
      <c r="R140" s="54" t="str">
        <f>IF(Q140="","",IFERROR(Q140/VLOOKUP("EUR",Setup!$A$38:$E$52,5,FALSE),""))</f>
        <v/>
      </c>
      <c r="S140" s="54" t="str">
        <f>IF(Q140="","",IFERROR(Q140/VLOOKUP("USD",Setup!$A$38:$E$52,5,FALSE),""))</f>
        <v/>
      </c>
    </row>
    <row r="141" ht="24.0" customHeight="1">
      <c r="A141" s="78"/>
      <c r="B141" s="78"/>
      <c r="C141" s="97" t="str">
        <f t="array" ref="C141">IF(B141="","",IFERROR(INDEX(Applications!$C$6:$C$205,MATCH(B141,Applications!$A$6:$A$205,0)),""))</f>
        <v/>
      </c>
      <c r="D141" s="99"/>
      <c r="E141" s="99"/>
      <c r="F141" s="104"/>
      <c r="G141" s="99"/>
      <c r="H141" s="78"/>
      <c r="I141" s="65"/>
      <c r="J141" s="104"/>
      <c r="K141" s="99"/>
      <c r="L141" s="110" t="b">
        <v>0</v>
      </c>
      <c r="M141" s="78"/>
      <c r="N141" s="54" t="str">
        <f>IF(OR(F141="",G141=""),"",IFERROR(F141*VLOOKUP(G141,Setup!$A$38:$E$52,5,FALSE),""))</f>
        <v/>
      </c>
      <c r="O141" s="54" t="str">
        <f>IF(N141="","",IFERROR(N141/VLOOKUP("EUR",Setup!$A$38:$E$52,5,FALSE),""))</f>
        <v/>
      </c>
      <c r="P141" s="54" t="str">
        <f>IF(N141="","",IFERROR(N141/VLOOKUP("USD",Setup!$A$38:$E$52,5,FALSE),""))</f>
        <v/>
      </c>
      <c r="Q141" s="54" t="str">
        <f>IF(OR(J141="",K141=""),"",IFERROR(J141*VLOOKUP(K141,Setup!$A$38:$E$52,5,FALSE),""))</f>
        <v/>
      </c>
      <c r="R141" s="54" t="str">
        <f>IF(Q141="","",IFERROR(Q141/VLOOKUP("EUR",Setup!$A$38:$E$52,5,FALSE),""))</f>
        <v/>
      </c>
      <c r="S141" s="54" t="str">
        <f>IF(Q141="","",IFERROR(Q141/VLOOKUP("USD",Setup!$A$38:$E$52,5,FALSE),""))</f>
        <v/>
      </c>
    </row>
    <row r="142" ht="24.0" customHeight="1">
      <c r="A142" s="78"/>
      <c r="B142" s="78"/>
      <c r="C142" s="97" t="str">
        <f t="array" ref="C142">IF(B142="","",IFERROR(INDEX(Applications!$C$6:$C$205,MATCH(B142,Applications!$A$6:$A$205,0)),""))</f>
        <v/>
      </c>
      <c r="D142" s="99"/>
      <c r="E142" s="99"/>
      <c r="F142" s="104"/>
      <c r="G142" s="99"/>
      <c r="H142" s="78"/>
      <c r="I142" s="65"/>
      <c r="J142" s="104"/>
      <c r="K142" s="99"/>
      <c r="L142" s="110" t="b">
        <v>0</v>
      </c>
      <c r="M142" s="78"/>
      <c r="N142" s="54" t="str">
        <f>IF(OR(F142="",G142=""),"",IFERROR(F142*VLOOKUP(G142,Setup!$A$38:$E$52,5,FALSE),""))</f>
        <v/>
      </c>
      <c r="O142" s="54" t="str">
        <f>IF(N142="","",IFERROR(N142/VLOOKUP("EUR",Setup!$A$38:$E$52,5,FALSE),""))</f>
        <v/>
      </c>
      <c r="P142" s="54" t="str">
        <f>IF(N142="","",IFERROR(N142/VLOOKUP("USD",Setup!$A$38:$E$52,5,FALSE),""))</f>
        <v/>
      </c>
      <c r="Q142" s="54" t="str">
        <f>IF(OR(J142="",K142=""),"",IFERROR(J142*VLOOKUP(K142,Setup!$A$38:$E$52,5,FALSE),""))</f>
        <v/>
      </c>
      <c r="R142" s="54" t="str">
        <f>IF(Q142="","",IFERROR(Q142/VLOOKUP("EUR",Setup!$A$38:$E$52,5,FALSE),""))</f>
        <v/>
      </c>
      <c r="S142" s="54" t="str">
        <f>IF(Q142="","",IFERROR(Q142/VLOOKUP("USD",Setup!$A$38:$E$52,5,FALSE),""))</f>
        <v/>
      </c>
    </row>
    <row r="143" ht="24.0" customHeight="1">
      <c r="A143" s="78"/>
      <c r="B143" s="78"/>
      <c r="C143" s="97" t="str">
        <f t="array" ref="C143">IF(B143="","",IFERROR(INDEX(Applications!$C$6:$C$205,MATCH(B143,Applications!$A$6:$A$205,0)),""))</f>
        <v/>
      </c>
      <c r="D143" s="99"/>
      <c r="E143" s="99"/>
      <c r="F143" s="104"/>
      <c r="G143" s="99"/>
      <c r="H143" s="78"/>
      <c r="I143" s="65"/>
      <c r="J143" s="104"/>
      <c r="K143" s="99"/>
      <c r="L143" s="110" t="b">
        <v>0</v>
      </c>
      <c r="M143" s="78"/>
      <c r="N143" s="54" t="str">
        <f>IF(OR(F143="",G143=""),"",IFERROR(F143*VLOOKUP(G143,Setup!$A$38:$E$52,5,FALSE),""))</f>
        <v/>
      </c>
      <c r="O143" s="54" t="str">
        <f>IF(N143="","",IFERROR(N143/VLOOKUP("EUR",Setup!$A$38:$E$52,5,FALSE),""))</f>
        <v/>
      </c>
      <c r="P143" s="54" t="str">
        <f>IF(N143="","",IFERROR(N143/VLOOKUP("USD",Setup!$A$38:$E$52,5,FALSE),""))</f>
        <v/>
      </c>
      <c r="Q143" s="54" t="str">
        <f>IF(OR(J143="",K143=""),"",IFERROR(J143*VLOOKUP(K143,Setup!$A$38:$E$52,5,FALSE),""))</f>
        <v/>
      </c>
      <c r="R143" s="54" t="str">
        <f>IF(Q143="","",IFERROR(Q143/VLOOKUP("EUR",Setup!$A$38:$E$52,5,FALSE),""))</f>
        <v/>
      </c>
      <c r="S143" s="54" t="str">
        <f>IF(Q143="","",IFERROR(Q143/VLOOKUP("USD",Setup!$A$38:$E$52,5,FALSE),""))</f>
        <v/>
      </c>
    </row>
    <row r="144" ht="24.0" customHeight="1">
      <c r="A144" s="78"/>
      <c r="B144" s="78"/>
      <c r="C144" s="97" t="str">
        <f t="array" ref="C144">IF(B144="","",IFERROR(INDEX(Applications!$C$6:$C$205,MATCH(B144,Applications!$A$6:$A$205,0)),""))</f>
        <v/>
      </c>
      <c r="D144" s="99"/>
      <c r="E144" s="99"/>
      <c r="F144" s="104"/>
      <c r="G144" s="99"/>
      <c r="H144" s="78"/>
      <c r="I144" s="65"/>
      <c r="J144" s="104"/>
      <c r="K144" s="99"/>
      <c r="L144" s="110" t="b">
        <v>0</v>
      </c>
      <c r="M144" s="78"/>
      <c r="N144" s="54" t="str">
        <f>IF(OR(F144="",G144=""),"",IFERROR(F144*VLOOKUP(G144,Setup!$A$38:$E$52,5,FALSE),""))</f>
        <v/>
      </c>
      <c r="O144" s="54" t="str">
        <f>IF(N144="","",IFERROR(N144/VLOOKUP("EUR",Setup!$A$38:$E$52,5,FALSE),""))</f>
        <v/>
      </c>
      <c r="P144" s="54" t="str">
        <f>IF(N144="","",IFERROR(N144/VLOOKUP("USD",Setup!$A$38:$E$52,5,FALSE),""))</f>
        <v/>
      </c>
      <c r="Q144" s="54" t="str">
        <f>IF(OR(J144="",K144=""),"",IFERROR(J144*VLOOKUP(K144,Setup!$A$38:$E$52,5,FALSE),""))</f>
        <v/>
      </c>
      <c r="R144" s="54" t="str">
        <f>IF(Q144="","",IFERROR(Q144/VLOOKUP("EUR",Setup!$A$38:$E$52,5,FALSE),""))</f>
        <v/>
      </c>
      <c r="S144" s="54" t="str">
        <f>IF(Q144="","",IFERROR(Q144/VLOOKUP("USD",Setup!$A$38:$E$52,5,FALSE),""))</f>
        <v/>
      </c>
    </row>
    <row r="145" ht="24.0" customHeight="1">
      <c r="A145" s="78"/>
      <c r="B145" s="78"/>
      <c r="C145" s="97" t="str">
        <f t="array" ref="C145">IF(B145="","",IFERROR(INDEX(Applications!$C$6:$C$205,MATCH(B145,Applications!$A$6:$A$205,0)),""))</f>
        <v/>
      </c>
      <c r="D145" s="99"/>
      <c r="E145" s="99"/>
      <c r="F145" s="104"/>
      <c r="G145" s="99"/>
      <c r="H145" s="78"/>
      <c r="I145" s="65"/>
      <c r="J145" s="104"/>
      <c r="K145" s="99"/>
      <c r="L145" s="110" t="b">
        <v>0</v>
      </c>
      <c r="M145" s="78"/>
      <c r="N145" s="54" t="str">
        <f>IF(OR(F145="",G145=""),"",IFERROR(F145*VLOOKUP(G145,Setup!$A$38:$E$52,5,FALSE),""))</f>
        <v/>
      </c>
      <c r="O145" s="54" t="str">
        <f>IF(N145="","",IFERROR(N145/VLOOKUP("EUR",Setup!$A$38:$E$52,5,FALSE),""))</f>
        <v/>
      </c>
      <c r="P145" s="54" t="str">
        <f>IF(N145="","",IFERROR(N145/VLOOKUP("USD",Setup!$A$38:$E$52,5,FALSE),""))</f>
        <v/>
      </c>
      <c r="Q145" s="54" t="str">
        <f>IF(OR(J145="",K145=""),"",IFERROR(J145*VLOOKUP(K145,Setup!$A$38:$E$52,5,FALSE),""))</f>
        <v/>
      </c>
      <c r="R145" s="54" t="str">
        <f>IF(Q145="","",IFERROR(Q145/VLOOKUP("EUR",Setup!$A$38:$E$52,5,FALSE),""))</f>
        <v/>
      </c>
      <c r="S145" s="54" t="str">
        <f>IF(Q145="","",IFERROR(Q145/VLOOKUP("USD",Setup!$A$38:$E$52,5,FALSE),""))</f>
        <v/>
      </c>
    </row>
    <row r="146" ht="24.0" customHeight="1">
      <c r="A146" s="78"/>
      <c r="B146" s="78"/>
      <c r="C146" s="97" t="str">
        <f t="array" ref="C146">IF(B146="","",IFERROR(INDEX(Applications!$C$6:$C$205,MATCH(B146,Applications!$A$6:$A$205,0)),""))</f>
        <v/>
      </c>
      <c r="D146" s="99"/>
      <c r="E146" s="99"/>
      <c r="F146" s="104"/>
      <c r="G146" s="99"/>
      <c r="H146" s="78"/>
      <c r="I146" s="65"/>
      <c r="J146" s="104"/>
      <c r="K146" s="99"/>
      <c r="L146" s="110" t="b">
        <v>0</v>
      </c>
      <c r="M146" s="78"/>
      <c r="N146" s="54" t="str">
        <f>IF(OR(F146="",G146=""),"",IFERROR(F146*VLOOKUP(G146,Setup!$A$38:$E$52,5,FALSE),""))</f>
        <v/>
      </c>
      <c r="O146" s="54" t="str">
        <f>IF(N146="","",IFERROR(N146/VLOOKUP("EUR",Setup!$A$38:$E$52,5,FALSE),""))</f>
        <v/>
      </c>
      <c r="P146" s="54" t="str">
        <f>IF(N146="","",IFERROR(N146/VLOOKUP("USD",Setup!$A$38:$E$52,5,FALSE),""))</f>
        <v/>
      </c>
      <c r="Q146" s="54" t="str">
        <f>IF(OR(J146="",K146=""),"",IFERROR(J146*VLOOKUP(K146,Setup!$A$38:$E$52,5,FALSE),""))</f>
        <v/>
      </c>
      <c r="R146" s="54" t="str">
        <f>IF(Q146="","",IFERROR(Q146/VLOOKUP("EUR",Setup!$A$38:$E$52,5,FALSE),""))</f>
        <v/>
      </c>
      <c r="S146" s="54" t="str">
        <f>IF(Q146="","",IFERROR(Q146/VLOOKUP("USD",Setup!$A$38:$E$52,5,FALSE),""))</f>
        <v/>
      </c>
    </row>
    <row r="147" ht="24.0" customHeight="1">
      <c r="A147" s="78"/>
      <c r="B147" s="78"/>
      <c r="C147" s="97" t="str">
        <f t="array" ref="C147">IF(B147="","",IFERROR(INDEX(Applications!$C$6:$C$205,MATCH(B147,Applications!$A$6:$A$205,0)),""))</f>
        <v/>
      </c>
      <c r="D147" s="99"/>
      <c r="E147" s="99"/>
      <c r="F147" s="104"/>
      <c r="G147" s="99"/>
      <c r="H147" s="78"/>
      <c r="I147" s="65"/>
      <c r="J147" s="104"/>
      <c r="K147" s="99"/>
      <c r="L147" s="110" t="b">
        <v>0</v>
      </c>
      <c r="M147" s="78"/>
      <c r="N147" s="54" t="str">
        <f>IF(OR(F147="",G147=""),"",IFERROR(F147*VLOOKUP(G147,Setup!$A$38:$E$52,5,FALSE),""))</f>
        <v/>
      </c>
      <c r="O147" s="54" t="str">
        <f>IF(N147="","",IFERROR(N147/VLOOKUP("EUR",Setup!$A$38:$E$52,5,FALSE),""))</f>
        <v/>
      </c>
      <c r="P147" s="54" t="str">
        <f>IF(N147="","",IFERROR(N147/VLOOKUP("USD",Setup!$A$38:$E$52,5,FALSE),""))</f>
        <v/>
      </c>
      <c r="Q147" s="54" t="str">
        <f>IF(OR(J147="",K147=""),"",IFERROR(J147*VLOOKUP(K147,Setup!$A$38:$E$52,5,FALSE),""))</f>
        <v/>
      </c>
      <c r="R147" s="54" t="str">
        <f>IF(Q147="","",IFERROR(Q147/VLOOKUP("EUR",Setup!$A$38:$E$52,5,FALSE),""))</f>
        <v/>
      </c>
      <c r="S147" s="54" t="str">
        <f>IF(Q147="","",IFERROR(Q147/VLOOKUP("USD",Setup!$A$38:$E$52,5,FALSE),""))</f>
        <v/>
      </c>
    </row>
    <row r="148" ht="24.0" customHeight="1">
      <c r="A148" s="78"/>
      <c r="B148" s="78"/>
      <c r="C148" s="97" t="str">
        <f t="array" ref="C148">IF(B148="","",IFERROR(INDEX(Applications!$C$6:$C$205,MATCH(B148,Applications!$A$6:$A$205,0)),""))</f>
        <v/>
      </c>
      <c r="D148" s="99"/>
      <c r="E148" s="99"/>
      <c r="F148" s="104"/>
      <c r="G148" s="99"/>
      <c r="H148" s="78"/>
      <c r="I148" s="65"/>
      <c r="J148" s="104"/>
      <c r="K148" s="99"/>
      <c r="L148" s="110" t="b">
        <v>0</v>
      </c>
      <c r="M148" s="78"/>
      <c r="N148" s="54" t="str">
        <f>IF(OR(F148="",G148=""),"",IFERROR(F148*VLOOKUP(G148,Setup!$A$38:$E$52,5,FALSE),""))</f>
        <v/>
      </c>
      <c r="O148" s="54" t="str">
        <f>IF(N148="","",IFERROR(N148/VLOOKUP("EUR",Setup!$A$38:$E$52,5,FALSE),""))</f>
        <v/>
      </c>
      <c r="P148" s="54" t="str">
        <f>IF(N148="","",IFERROR(N148/VLOOKUP("USD",Setup!$A$38:$E$52,5,FALSE),""))</f>
        <v/>
      </c>
      <c r="Q148" s="54" t="str">
        <f>IF(OR(J148="",K148=""),"",IFERROR(J148*VLOOKUP(K148,Setup!$A$38:$E$52,5,FALSE),""))</f>
        <v/>
      </c>
      <c r="R148" s="54" t="str">
        <f>IF(Q148="","",IFERROR(Q148/VLOOKUP("EUR",Setup!$A$38:$E$52,5,FALSE),""))</f>
        <v/>
      </c>
      <c r="S148" s="54" t="str">
        <f>IF(Q148="","",IFERROR(Q148/VLOOKUP("USD",Setup!$A$38:$E$52,5,FALSE),""))</f>
        <v/>
      </c>
    </row>
    <row r="149" ht="24.0" customHeight="1">
      <c r="A149" s="78"/>
      <c r="B149" s="78"/>
      <c r="C149" s="97" t="str">
        <f t="array" ref="C149">IF(B149="","",IFERROR(INDEX(Applications!$C$6:$C$205,MATCH(B149,Applications!$A$6:$A$205,0)),""))</f>
        <v/>
      </c>
      <c r="D149" s="99"/>
      <c r="E149" s="99"/>
      <c r="F149" s="104"/>
      <c r="G149" s="99"/>
      <c r="H149" s="78"/>
      <c r="I149" s="65"/>
      <c r="J149" s="104"/>
      <c r="K149" s="99"/>
      <c r="L149" s="110" t="b">
        <v>0</v>
      </c>
      <c r="M149" s="78"/>
      <c r="N149" s="54" t="str">
        <f>IF(OR(F149="",G149=""),"",IFERROR(F149*VLOOKUP(G149,Setup!$A$38:$E$52,5,FALSE),""))</f>
        <v/>
      </c>
      <c r="O149" s="54" t="str">
        <f>IF(N149="","",IFERROR(N149/VLOOKUP("EUR",Setup!$A$38:$E$52,5,FALSE),""))</f>
        <v/>
      </c>
      <c r="P149" s="54" t="str">
        <f>IF(N149="","",IFERROR(N149/VLOOKUP("USD",Setup!$A$38:$E$52,5,FALSE),""))</f>
        <v/>
      </c>
      <c r="Q149" s="54" t="str">
        <f>IF(OR(J149="",K149=""),"",IFERROR(J149*VLOOKUP(K149,Setup!$A$38:$E$52,5,FALSE),""))</f>
        <v/>
      </c>
      <c r="R149" s="54" t="str">
        <f>IF(Q149="","",IFERROR(Q149/VLOOKUP("EUR",Setup!$A$38:$E$52,5,FALSE),""))</f>
        <v/>
      </c>
      <c r="S149" s="54" t="str">
        <f>IF(Q149="","",IFERROR(Q149/VLOOKUP("USD",Setup!$A$38:$E$52,5,FALSE),""))</f>
        <v/>
      </c>
    </row>
    <row r="150" ht="24.0" customHeight="1">
      <c r="A150" s="78"/>
      <c r="B150" s="78"/>
      <c r="C150" s="97" t="str">
        <f t="array" ref="C150">IF(B150="","",IFERROR(INDEX(Applications!$C$6:$C$205,MATCH(B150,Applications!$A$6:$A$205,0)),""))</f>
        <v/>
      </c>
      <c r="D150" s="99"/>
      <c r="E150" s="99"/>
      <c r="F150" s="104"/>
      <c r="G150" s="99"/>
      <c r="H150" s="78"/>
      <c r="I150" s="65"/>
      <c r="J150" s="104"/>
      <c r="K150" s="99"/>
      <c r="L150" s="110" t="b">
        <v>0</v>
      </c>
      <c r="M150" s="78"/>
      <c r="N150" s="54" t="str">
        <f>IF(OR(F150="",G150=""),"",IFERROR(F150*VLOOKUP(G150,Setup!$A$38:$E$52,5,FALSE),""))</f>
        <v/>
      </c>
      <c r="O150" s="54" t="str">
        <f>IF(N150="","",IFERROR(N150/VLOOKUP("EUR",Setup!$A$38:$E$52,5,FALSE),""))</f>
        <v/>
      </c>
      <c r="P150" s="54" t="str">
        <f>IF(N150="","",IFERROR(N150/VLOOKUP("USD",Setup!$A$38:$E$52,5,FALSE),""))</f>
        <v/>
      </c>
      <c r="Q150" s="54" t="str">
        <f>IF(OR(J150="",K150=""),"",IFERROR(J150*VLOOKUP(K150,Setup!$A$38:$E$52,5,FALSE),""))</f>
        <v/>
      </c>
      <c r="R150" s="54" t="str">
        <f>IF(Q150="","",IFERROR(Q150/VLOOKUP("EUR",Setup!$A$38:$E$52,5,FALSE),""))</f>
        <v/>
      </c>
      <c r="S150" s="54" t="str">
        <f>IF(Q150="","",IFERROR(Q150/VLOOKUP("USD",Setup!$A$38:$E$52,5,FALSE),""))</f>
        <v/>
      </c>
    </row>
    <row r="151" ht="24.0" customHeight="1">
      <c r="A151" s="78"/>
      <c r="B151" s="78"/>
      <c r="C151" s="97" t="str">
        <f t="array" ref="C151">IF(B151="","",IFERROR(INDEX(Applications!$C$6:$C$205,MATCH(B151,Applications!$A$6:$A$205,0)),""))</f>
        <v/>
      </c>
      <c r="D151" s="99"/>
      <c r="E151" s="99"/>
      <c r="F151" s="104"/>
      <c r="G151" s="99"/>
      <c r="H151" s="78"/>
      <c r="I151" s="65"/>
      <c r="J151" s="104"/>
      <c r="K151" s="99"/>
      <c r="L151" s="110" t="b">
        <v>0</v>
      </c>
      <c r="M151" s="78"/>
      <c r="N151" s="54" t="str">
        <f>IF(OR(F151="",G151=""),"",IFERROR(F151*VLOOKUP(G151,Setup!$A$38:$E$52,5,FALSE),""))</f>
        <v/>
      </c>
      <c r="O151" s="54" t="str">
        <f>IF(N151="","",IFERROR(N151/VLOOKUP("EUR",Setup!$A$38:$E$52,5,FALSE),""))</f>
        <v/>
      </c>
      <c r="P151" s="54" t="str">
        <f>IF(N151="","",IFERROR(N151/VLOOKUP("USD",Setup!$A$38:$E$52,5,FALSE),""))</f>
        <v/>
      </c>
      <c r="Q151" s="54" t="str">
        <f>IF(OR(J151="",K151=""),"",IFERROR(J151*VLOOKUP(K151,Setup!$A$38:$E$52,5,FALSE),""))</f>
        <v/>
      </c>
      <c r="R151" s="54" t="str">
        <f>IF(Q151="","",IFERROR(Q151/VLOOKUP("EUR",Setup!$A$38:$E$52,5,FALSE),""))</f>
        <v/>
      </c>
      <c r="S151" s="54" t="str">
        <f>IF(Q151="","",IFERROR(Q151/VLOOKUP("USD",Setup!$A$38:$E$52,5,FALSE),""))</f>
        <v/>
      </c>
    </row>
    <row r="152" ht="24.0" customHeight="1">
      <c r="A152" s="78"/>
      <c r="B152" s="78"/>
      <c r="C152" s="97" t="str">
        <f t="array" ref="C152">IF(B152="","",IFERROR(INDEX(Applications!$C$6:$C$205,MATCH(B152,Applications!$A$6:$A$205,0)),""))</f>
        <v/>
      </c>
      <c r="D152" s="99"/>
      <c r="E152" s="99"/>
      <c r="F152" s="104"/>
      <c r="G152" s="99"/>
      <c r="H152" s="78"/>
      <c r="I152" s="65"/>
      <c r="J152" s="104"/>
      <c r="K152" s="99"/>
      <c r="L152" s="110" t="b">
        <v>0</v>
      </c>
      <c r="M152" s="78"/>
      <c r="N152" s="54" t="str">
        <f>IF(OR(F152="",G152=""),"",IFERROR(F152*VLOOKUP(G152,Setup!$A$38:$E$52,5,FALSE),""))</f>
        <v/>
      </c>
      <c r="O152" s="54" t="str">
        <f>IF(N152="","",IFERROR(N152/VLOOKUP("EUR",Setup!$A$38:$E$52,5,FALSE),""))</f>
        <v/>
      </c>
      <c r="P152" s="54" t="str">
        <f>IF(N152="","",IFERROR(N152/VLOOKUP("USD",Setup!$A$38:$E$52,5,FALSE),""))</f>
        <v/>
      </c>
      <c r="Q152" s="54" t="str">
        <f>IF(OR(J152="",K152=""),"",IFERROR(J152*VLOOKUP(K152,Setup!$A$38:$E$52,5,FALSE),""))</f>
        <v/>
      </c>
      <c r="R152" s="54" t="str">
        <f>IF(Q152="","",IFERROR(Q152/VLOOKUP("EUR",Setup!$A$38:$E$52,5,FALSE),""))</f>
        <v/>
      </c>
      <c r="S152" s="54" t="str">
        <f>IF(Q152="","",IFERROR(Q152/VLOOKUP("USD",Setup!$A$38:$E$52,5,FALSE),""))</f>
        <v/>
      </c>
    </row>
    <row r="153" ht="24.0" customHeight="1">
      <c r="A153" s="78"/>
      <c r="B153" s="78"/>
      <c r="C153" s="97" t="str">
        <f t="array" ref="C153">IF(B153="","",IFERROR(INDEX(Applications!$C$6:$C$205,MATCH(B153,Applications!$A$6:$A$205,0)),""))</f>
        <v/>
      </c>
      <c r="D153" s="99"/>
      <c r="E153" s="99"/>
      <c r="F153" s="104"/>
      <c r="G153" s="99"/>
      <c r="H153" s="78"/>
      <c r="I153" s="65"/>
      <c r="J153" s="104"/>
      <c r="K153" s="99"/>
      <c r="L153" s="110" t="b">
        <v>0</v>
      </c>
      <c r="M153" s="78"/>
      <c r="N153" s="54" t="str">
        <f>IF(OR(F153="",G153=""),"",IFERROR(F153*VLOOKUP(G153,Setup!$A$38:$E$52,5,FALSE),""))</f>
        <v/>
      </c>
      <c r="O153" s="54" t="str">
        <f>IF(N153="","",IFERROR(N153/VLOOKUP("EUR",Setup!$A$38:$E$52,5,FALSE),""))</f>
        <v/>
      </c>
      <c r="P153" s="54" t="str">
        <f>IF(N153="","",IFERROR(N153/VLOOKUP("USD",Setup!$A$38:$E$52,5,FALSE),""))</f>
        <v/>
      </c>
      <c r="Q153" s="54" t="str">
        <f>IF(OR(J153="",K153=""),"",IFERROR(J153*VLOOKUP(K153,Setup!$A$38:$E$52,5,FALSE),""))</f>
        <v/>
      </c>
      <c r="R153" s="54" t="str">
        <f>IF(Q153="","",IFERROR(Q153/VLOOKUP("EUR",Setup!$A$38:$E$52,5,FALSE),""))</f>
        <v/>
      </c>
      <c r="S153" s="54" t="str">
        <f>IF(Q153="","",IFERROR(Q153/VLOOKUP("USD",Setup!$A$38:$E$52,5,FALSE),""))</f>
        <v/>
      </c>
    </row>
    <row r="154" ht="24.0" customHeight="1">
      <c r="A154" s="78"/>
      <c r="B154" s="78"/>
      <c r="C154" s="97" t="str">
        <f t="array" ref="C154">IF(B154="","",IFERROR(INDEX(Applications!$C$6:$C$205,MATCH(B154,Applications!$A$6:$A$205,0)),""))</f>
        <v/>
      </c>
      <c r="D154" s="99"/>
      <c r="E154" s="99"/>
      <c r="F154" s="104"/>
      <c r="G154" s="99"/>
      <c r="H154" s="78"/>
      <c r="I154" s="65"/>
      <c r="J154" s="104"/>
      <c r="K154" s="99"/>
      <c r="L154" s="110" t="b">
        <v>0</v>
      </c>
      <c r="M154" s="78"/>
      <c r="N154" s="54" t="str">
        <f>IF(OR(F154="",G154=""),"",IFERROR(F154*VLOOKUP(G154,Setup!$A$38:$E$52,5,FALSE),""))</f>
        <v/>
      </c>
      <c r="O154" s="54" t="str">
        <f>IF(N154="","",IFERROR(N154/VLOOKUP("EUR",Setup!$A$38:$E$52,5,FALSE),""))</f>
        <v/>
      </c>
      <c r="P154" s="54" t="str">
        <f>IF(N154="","",IFERROR(N154/VLOOKUP("USD",Setup!$A$38:$E$52,5,FALSE),""))</f>
        <v/>
      </c>
      <c r="Q154" s="54" t="str">
        <f>IF(OR(J154="",K154=""),"",IFERROR(J154*VLOOKUP(K154,Setup!$A$38:$E$52,5,FALSE),""))</f>
        <v/>
      </c>
      <c r="R154" s="54" t="str">
        <f>IF(Q154="","",IFERROR(Q154/VLOOKUP("EUR",Setup!$A$38:$E$52,5,FALSE),""))</f>
        <v/>
      </c>
      <c r="S154" s="54" t="str">
        <f>IF(Q154="","",IFERROR(Q154/VLOOKUP("USD",Setup!$A$38:$E$52,5,FALSE),""))</f>
        <v/>
      </c>
    </row>
    <row r="155" ht="24.0" customHeight="1">
      <c r="A155" s="78"/>
      <c r="B155" s="78"/>
      <c r="C155" s="97" t="str">
        <f t="array" ref="C155">IF(B155="","",IFERROR(INDEX(Applications!$C$6:$C$205,MATCH(B155,Applications!$A$6:$A$205,0)),""))</f>
        <v/>
      </c>
      <c r="D155" s="99"/>
      <c r="E155" s="99"/>
      <c r="F155" s="104"/>
      <c r="G155" s="99"/>
      <c r="H155" s="78"/>
      <c r="I155" s="65"/>
      <c r="J155" s="104"/>
      <c r="K155" s="99"/>
      <c r="L155" s="110" t="b">
        <v>0</v>
      </c>
      <c r="M155" s="78"/>
      <c r="N155" s="54" t="str">
        <f>IF(OR(F155="",G155=""),"",IFERROR(F155*VLOOKUP(G155,Setup!$A$38:$E$52,5,FALSE),""))</f>
        <v/>
      </c>
      <c r="O155" s="54" t="str">
        <f>IF(N155="","",IFERROR(N155/VLOOKUP("EUR",Setup!$A$38:$E$52,5,FALSE),""))</f>
        <v/>
      </c>
      <c r="P155" s="54" t="str">
        <f>IF(N155="","",IFERROR(N155/VLOOKUP("USD",Setup!$A$38:$E$52,5,FALSE),""))</f>
        <v/>
      </c>
      <c r="Q155" s="54" t="str">
        <f>IF(OR(J155="",K155=""),"",IFERROR(J155*VLOOKUP(K155,Setup!$A$38:$E$52,5,FALSE),""))</f>
        <v/>
      </c>
      <c r="R155" s="54" t="str">
        <f>IF(Q155="","",IFERROR(Q155/VLOOKUP("EUR",Setup!$A$38:$E$52,5,FALSE),""))</f>
        <v/>
      </c>
      <c r="S155" s="54" t="str">
        <f>IF(Q155="","",IFERROR(Q155/VLOOKUP("USD",Setup!$A$38:$E$52,5,FALSE),""))</f>
        <v/>
      </c>
    </row>
    <row r="156" ht="24.0" customHeight="1">
      <c r="A156" s="78"/>
      <c r="B156" s="78"/>
      <c r="C156" s="97" t="str">
        <f t="array" ref="C156">IF(B156="","",IFERROR(INDEX(Applications!$C$6:$C$205,MATCH(B156,Applications!$A$6:$A$205,0)),""))</f>
        <v/>
      </c>
      <c r="D156" s="99"/>
      <c r="E156" s="99"/>
      <c r="F156" s="104"/>
      <c r="G156" s="99"/>
      <c r="H156" s="78"/>
      <c r="I156" s="65"/>
      <c r="J156" s="104"/>
      <c r="K156" s="99"/>
      <c r="L156" s="110" t="b">
        <v>0</v>
      </c>
      <c r="M156" s="78"/>
      <c r="N156" s="54" t="str">
        <f>IF(OR(F156="",G156=""),"",IFERROR(F156*VLOOKUP(G156,Setup!$A$38:$E$52,5,FALSE),""))</f>
        <v/>
      </c>
      <c r="O156" s="54" t="str">
        <f>IF(N156="","",IFERROR(N156/VLOOKUP("EUR",Setup!$A$38:$E$52,5,FALSE),""))</f>
        <v/>
      </c>
      <c r="P156" s="54" t="str">
        <f>IF(N156="","",IFERROR(N156/VLOOKUP("USD",Setup!$A$38:$E$52,5,FALSE),""))</f>
        <v/>
      </c>
      <c r="Q156" s="54" t="str">
        <f>IF(OR(J156="",K156=""),"",IFERROR(J156*VLOOKUP(K156,Setup!$A$38:$E$52,5,FALSE),""))</f>
        <v/>
      </c>
      <c r="R156" s="54" t="str">
        <f>IF(Q156="","",IFERROR(Q156/VLOOKUP("EUR",Setup!$A$38:$E$52,5,FALSE),""))</f>
        <v/>
      </c>
      <c r="S156" s="54" t="str">
        <f>IF(Q156="","",IFERROR(Q156/VLOOKUP("USD",Setup!$A$38:$E$52,5,FALSE),""))</f>
        <v/>
      </c>
    </row>
    <row r="157" ht="24.0" customHeight="1">
      <c r="A157" s="78"/>
      <c r="B157" s="78"/>
      <c r="C157" s="97" t="str">
        <f t="array" ref="C157">IF(B157="","",IFERROR(INDEX(Applications!$C$6:$C$205,MATCH(B157,Applications!$A$6:$A$205,0)),""))</f>
        <v/>
      </c>
      <c r="D157" s="99"/>
      <c r="E157" s="99"/>
      <c r="F157" s="104"/>
      <c r="G157" s="99"/>
      <c r="H157" s="78"/>
      <c r="I157" s="65"/>
      <c r="J157" s="104"/>
      <c r="K157" s="99"/>
      <c r="L157" s="110" t="b">
        <v>0</v>
      </c>
      <c r="M157" s="78"/>
      <c r="N157" s="54" t="str">
        <f>IF(OR(F157="",G157=""),"",IFERROR(F157*VLOOKUP(G157,Setup!$A$38:$E$52,5,FALSE),""))</f>
        <v/>
      </c>
      <c r="O157" s="54" t="str">
        <f>IF(N157="","",IFERROR(N157/VLOOKUP("EUR",Setup!$A$38:$E$52,5,FALSE),""))</f>
        <v/>
      </c>
      <c r="P157" s="54" t="str">
        <f>IF(N157="","",IFERROR(N157/VLOOKUP("USD",Setup!$A$38:$E$52,5,FALSE),""))</f>
        <v/>
      </c>
      <c r="Q157" s="54" t="str">
        <f>IF(OR(J157="",K157=""),"",IFERROR(J157*VLOOKUP(K157,Setup!$A$38:$E$52,5,FALSE),""))</f>
        <v/>
      </c>
      <c r="R157" s="54" t="str">
        <f>IF(Q157="","",IFERROR(Q157/VLOOKUP("EUR",Setup!$A$38:$E$52,5,FALSE),""))</f>
        <v/>
      </c>
      <c r="S157" s="54" t="str">
        <f>IF(Q157="","",IFERROR(Q157/VLOOKUP("USD",Setup!$A$38:$E$52,5,FALSE),""))</f>
        <v/>
      </c>
    </row>
    <row r="158" ht="24.0" customHeight="1">
      <c r="A158" s="78"/>
      <c r="B158" s="78"/>
      <c r="C158" s="97" t="str">
        <f t="array" ref="C158">IF(B158="","",IFERROR(INDEX(Applications!$C$6:$C$205,MATCH(B158,Applications!$A$6:$A$205,0)),""))</f>
        <v/>
      </c>
      <c r="D158" s="99"/>
      <c r="E158" s="99"/>
      <c r="F158" s="104"/>
      <c r="G158" s="99"/>
      <c r="H158" s="78"/>
      <c r="I158" s="65"/>
      <c r="J158" s="104"/>
      <c r="K158" s="99"/>
      <c r="L158" s="110" t="b">
        <v>0</v>
      </c>
      <c r="M158" s="78"/>
      <c r="N158" s="54" t="str">
        <f>IF(OR(F158="",G158=""),"",IFERROR(F158*VLOOKUP(G158,Setup!$A$38:$E$52,5,FALSE),""))</f>
        <v/>
      </c>
      <c r="O158" s="54" t="str">
        <f>IF(N158="","",IFERROR(N158/VLOOKUP("EUR",Setup!$A$38:$E$52,5,FALSE),""))</f>
        <v/>
      </c>
      <c r="P158" s="54" t="str">
        <f>IF(N158="","",IFERROR(N158/VLOOKUP("USD",Setup!$A$38:$E$52,5,FALSE),""))</f>
        <v/>
      </c>
      <c r="Q158" s="54" t="str">
        <f>IF(OR(J158="",K158=""),"",IFERROR(J158*VLOOKUP(K158,Setup!$A$38:$E$52,5,FALSE),""))</f>
        <v/>
      </c>
      <c r="R158" s="54" t="str">
        <f>IF(Q158="","",IFERROR(Q158/VLOOKUP("EUR",Setup!$A$38:$E$52,5,FALSE),""))</f>
        <v/>
      </c>
      <c r="S158" s="54" t="str">
        <f>IF(Q158="","",IFERROR(Q158/VLOOKUP("USD",Setup!$A$38:$E$52,5,FALSE),""))</f>
        <v/>
      </c>
    </row>
    <row r="159" ht="24.0" customHeight="1">
      <c r="A159" s="78"/>
      <c r="B159" s="78"/>
      <c r="C159" s="97" t="str">
        <f t="array" ref="C159">IF(B159="","",IFERROR(INDEX(Applications!$C$6:$C$205,MATCH(B159,Applications!$A$6:$A$205,0)),""))</f>
        <v/>
      </c>
      <c r="D159" s="99"/>
      <c r="E159" s="99"/>
      <c r="F159" s="104"/>
      <c r="G159" s="99"/>
      <c r="H159" s="78"/>
      <c r="I159" s="65"/>
      <c r="J159" s="104"/>
      <c r="K159" s="99"/>
      <c r="L159" s="110" t="b">
        <v>0</v>
      </c>
      <c r="M159" s="78"/>
      <c r="N159" s="54" t="str">
        <f>IF(OR(F159="",G159=""),"",IFERROR(F159*VLOOKUP(G159,Setup!$A$38:$E$52,5,FALSE),""))</f>
        <v/>
      </c>
      <c r="O159" s="54" t="str">
        <f>IF(N159="","",IFERROR(N159/VLOOKUP("EUR",Setup!$A$38:$E$52,5,FALSE),""))</f>
        <v/>
      </c>
      <c r="P159" s="54" t="str">
        <f>IF(N159="","",IFERROR(N159/VLOOKUP("USD",Setup!$A$38:$E$52,5,FALSE),""))</f>
        <v/>
      </c>
      <c r="Q159" s="54" t="str">
        <f>IF(OR(J159="",K159=""),"",IFERROR(J159*VLOOKUP(K159,Setup!$A$38:$E$52,5,FALSE),""))</f>
        <v/>
      </c>
      <c r="R159" s="54" t="str">
        <f>IF(Q159="","",IFERROR(Q159/VLOOKUP("EUR",Setup!$A$38:$E$52,5,FALSE),""))</f>
        <v/>
      </c>
      <c r="S159" s="54" t="str">
        <f>IF(Q159="","",IFERROR(Q159/VLOOKUP("USD",Setup!$A$38:$E$52,5,FALSE),""))</f>
        <v/>
      </c>
    </row>
    <row r="160" ht="24.0" customHeight="1">
      <c r="A160" s="78"/>
      <c r="B160" s="78"/>
      <c r="C160" s="97" t="str">
        <f t="array" ref="C160">IF(B160="","",IFERROR(INDEX(Applications!$C$6:$C$205,MATCH(B160,Applications!$A$6:$A$205,0)),""))</f>
        <v/>
      </c>
      <c r="D160" s="99"/>
      <c r="E160" s="99"/>
      <c r="F160" s="104"/>
      <c r="G160" s="99"/>
      <c r="H160" s="78"/>
      <c r="I160" s="65"/>
      <c r="J160" s="104"/>
      <c r="K160" s="99"/>
      <c r="L160" s="110" t="b">
        <v>0</v>
      </c>
      <c r="M160" s="78"/>
      <c r="N160" s="54" t="str">
        <f>IF(OR(F160="",G160=""),"",IFERROR(F160*VLOOKUP(G160,Setup!$A$38:$E$52,5,FALSE),""))</f>
        <v/>
      </c>
      <c r="O160" s="54" t="str">
        <f>IF(N160="","",IFERROR(N160/VLOOKUP("EUR",Setup!$A$38:$E$52,5,FALSE),""))</f>
        <v/>
      </c>
      <c r="P160" s="54" t="str">
        <f>IF(N160="","",IFERROR(N160/VLOOKUP("USD",Setup!$A$38:$E$52,5,FALSE),""))</f>
        <v/>
      </c>
      <c r="Q160" s="54" t="str">
        <f>IF(OR(J160="",K160=""),"",IFERROR(J160*VLOOKUP(K160,Setup!$A$38:$E$52,5,FALSE),""))</f>
        <v/>
      </c>
      <c r="R160" s="54" t="str">
        <f>IF(Q160="","",IFERROR(Q160/VLOOKUP("EUR",Setup!$A$38:$E$52,5,FALSE),""))</f>
        <v/>
      </c>
      <c r="S160" s="54" t="str">
        <f>IF(Q160="","",IFERROR(Q160/VLOOKUP("USD",Setup!$A$38:$E$52,5,FALSE),""))</f>
        <v/>
      </c>
    </row>
    <row r="161" ht="24.0" customHeight="1">
      <c r="A161" s="78"/>
      <c r="B161" s="78"/>
      <c r="C161" s="97" t="str">
        <f t="array" ref="C161">IF(B161="","",IFERROR(INDEX(Applications!$C$6:$C$205,MATCH(B161,Applications!$A$6:$A$205,0)),""))</f>
        <v/>
      </c>
      <c r="D161" s="99"/>
      <c r="E161" s="99"/>
      <c r="F161" s="104"/>
      <c r="G161" s="99"/>
      <c r="H161" s="78"/>
      <c r="I161" s="65"/>
      <c r="J161" s="104"/>
      <c r="K161" s="99"/>
      <c r="L161" s="110" t="b">
        <v>0</v>
      </c>
      <c r="M161" s="78"/>
      <c r="N161" s="54" t="str">
        <f>IF(OR(F161="",G161=""),"",IFERROR(F161*VLOOKUP(G161,Setup!$A$38:$E$52,5,FALSE),""))</f>
        <v/>
      </c>
      <c r="O161" s="54" t="str">
        <f>IF(N161="","",IFERROR(N161/VLOOKUP("EUR",Setup!$A$38:$E$52,5,FALSE),""))</f>
        <v/>
      </c>
      <c r="P161" s="54" t="str">
        <f>IF(N161="","",IFERROR(N161/VLOOKUP("USD",Setup!$A$38:$E$52,5,FALSE),""))</f>
        <v/>
      </c>
      <c r="Q161" s="54" t="str">
        <f>IF(OR(J161="",K161=""),"",IFERROR(J161*VLOOKUP(K161,Setup!$A$38:$E$52,5,FALSE),""))</f>
        <v/>
      </c>
      <c r="R161" s="54" t="str">
        <f>IF(Q161="","",IFERROR(Q161/VLOOKUP("EUR",Setup!$A$38:$E$52,5,FALSE),""))</f>
        <v/>
      </c>
      <c r="S161" s="54" t="str">
        <f>IF(Q161="","",IFERROR(Q161/VLOOKUP("USD",Setup!$A$38:$E$52,5,FALSE),""))</f>
        <v/>
      </c>
    </row>
    <row r="162" ht="24.0" customHeight="1">
      <c r="A162" s="78"/>
      <c r="B162" s="78"/>
      <c r="C162" s="97" t="str">
        <f t="array" ref="C162">IF(B162="","",IFERROR(INDEX(Applications!$C$6:$C$205,MATCH(B162,Applications!$A$6:$A$205,0)),""))</f>
        <v/>
      </c>
      <c r="D162" s="99"/>
      <c r="E162" s="99"/>
      <c r="F162" s="104"/>
      <c r="G162" s="99"/>
      <c r="H162" s="78"/>
      <c r="I162" s="65"/>
      <c r="J162" s="104"/>
      <c r="K162" s="99"/>
      <c r="L162" s="110" t="b">
        <v>0</v>
      </c>
      <c r="M162" s="78"/>
      <c r="N162" s="54" t="str">
        <f>IF(OR(F162="",G162=""),"",IFERROR(F162*VLOOKUP(G162,Setup!$A$38:$E$52,5,FALSE),""))</f>
        <v/>
      </c>
      <c r="O162" s="54" t="str">
        <f>IF(N162="","",IFERROR(N162/VLOOKUP("EUR",Setup!$A$38:$E$52,5,FALSE),""))</f>
        <v/>
      </c>
      <c r="P162" s="54" t="str">
        <f>IF(N162="","",IFERROR(N162/VLOOKUP("USD",Setup!$A$38:$E$52,5,FALSE),""))</f>
        <v/>
      </c>
      <c r="Q162" s="54" t="str">
        <f>IF(OR(J162="",K162=""),"",IFERROR(J162*VLOOKUP(K162,Setup!$A$38:$E$52,5,FALSE),""))</f>
        <v/>
      </c>
      <c r="R162" s="54" t="str">
        <f>IF(Q162="","",IFERROR(Q162/VLOOKUP("EUR",Setup!$A$38:$E$52,5,FALSE),""))</f>
        <v/>
      </c>
      <c r="S162" s="54" t="str">
        <f>IF(Q162="","",IFERROR(Q162/VLOOKUP("USD",Setup!$A$38:$E$52,5,FALSE),""))</f>
        <v/>
      </c>
    </row>
    <row r="163" ht="24.0" customHeight="1">
      <c r="A163" s="78"/>
      <c r="B163" s="78"/>
      <c r="C163" s="97" t="str">
        <f t="array" ref="C163">IF(B163="","",IFERROR(INDEX(Applications!$C$6:$C$205,MATCH(B163,Applications!$A$6:$A$205,0)),""))</f>
        <v/>
      </c>
      <c r="D163" s="99"/>
      <c r="E163" s="99"/>
      <c r="F163" s="104"/>
      <c r="G163" s="99"/>
      <c r="H163" s="78"/>
      <c r="I163" s="65"/>
      <c r="J163" s="104"/>
      <c r="K163" s="99"/>
      <c r="L163" s="110" t="b">
        <v>0</v>
      </c>
      <c r="M163" s="78"/>
      <c r="N163" s="54" t="str">
        <f>IF(OR(F163="",G163=""),"",IFERROR(F163*VLOOKUP(G163,Setup!$A$38:$E$52,5,FALSE),""))</f>
        <v/>
      </c>
      <c r="O163" s="54" t="str">
        <f>IF(N163="","",IFERROR(N163/VLOOKUP("EUR",Setup!$A$38:$E$52,5,FALSE),""))</f>
        <v/>
      </c>
      <c r="P163" s="54" t="str">
        <f>IF(N163="","",IFERROR(N163/VLOOKUP("USD",Setup!$A$38:$E$52,5,FALSE),""))</f>
        <v/>
      </c>
      <c r="Q163" s="54" t="str">
        <f>IF(OR(J163="",K163=""),"",IFERROR(J163*VLOOKUP(K163,Setup!$A$38:$E$52,5,FALSE),""))</f>
        <v/>
      </c>
      <c r="R163" s="54" t="str">
        <f>IF(Q163="","",IFERROR(Q163/VLOOKUP("EUR",Setup!$A$38:$E$52,5,FALSE),""))</f>
        <v/>
      </c>
      <c r="S163" s="54" t="str">
        <f>IF(Q163="","",IFERROR(Q163/VLOOKUP("USD",Setup!$A$38:$E$52,5,FALSE),""))</f>
        <v/>
      </c>
    </row>
    <row r="164" ht="24.0" customHeight="1">
      <c r="A164" s="78"/>
      <c r="B164" s="78"/>
      <c r="C164" s="97" t="str">
        <f t="array" ref="C164">IF(B164="","",IFERROR(INDEX(Applications!$C$6:$C$205,MATCH(B164,Applications!$A$6:$A$205,0)),""))</f>
        <v/>
      </c>
      <c r="D164" s="99"/>
      <c r="E164" s="99"/>
      <c r="F164" s="104"/>
      <c r="G164" s="99"/>
      <c r="H164" s="78"/>
      <c r="I164" s="65"/>
      <c r="J164" s="104"/>
      <c r="K164" s="99"/>
      <c r="L164" s="110" t="b">
        <v>0</v>
      </c>
      <c r="M164" s="78"/>
      <c r="N164" s="54" t="str">
        <f>IF(OR(F164="",G164=""),"",IFERROR(F164*VLOOKUP(G164,Setup!$A$38:$E$52,5,FALSE),""))</f>
        <v/>
      </c>
      <c r="O164" s="54" t="str">
        <f>IF(N164="","",IFERROR(N164/VLOOKUP("EUR",Setup!$A$38:$E$52,5,FALSE),""))</f>
        <v/>
      </c>
      <c r="P164" s="54" t="str">
        <f>IF(N164="","",IFERROR(N164/VLOOKUP("USD",Setup!$A$38:$E$52,5,FALSE),""))</f>
        <v/>
      </c>
      <c r="Q164" s="54" t="str">
        <f>IF(OR(J164="",K164=""),"",IFERROR(J164*VLOOKUP(K164,Setup!$A$38:$E$52,5,FALSE),""))</f>
        <v/>
      </c>
      <c r="R164" s="54" t="str">
        <f>IF(Q164="","",IFERROR(Q164/VLOOKUP("EUR",Setup!$A$38:$E$52,5,FALSE),""))</f>
        <v/>
      </c>
      <c r="S164" s="54" t="str">
        <f>IF(Q164="","",IFERROR(Q164/VLOOKUP("USD",Setup!$A$38:$E$52,5,FALSE),""))</f>
        <v/>
      </c>
    </row>
    <row r="165" ht="24.0" customHeight="1">
      <c r="A165" s="78"/>
      <c r="B165" s="78"/>
      <c r="C165" s="97" t="str">
        <f t="array" ref="C165">IF(B165="","",IFERROR(INDEX(Applications!$C$6:$C$205,MATCH(B165,Applications!$A$6:$A$205,0)),""))</f>
        <v/>
      </c>
      <c r="D165" s="99"/>
      <c r="E165" s="99"/>
      <c r="F165" s="104"/>
      <c r="G165" s="99"/>
      <c r="H165" s="78"/>
      <c r="I165" s="65"/>
      <c r="J165" s="104"/>
      <c r="K165" s="99"/>
      <c r="L165" s="110" t="b">
        <v>0</v>
      </c>
      <c r="M165" s="78"/>
      <c r="N165" s="54" t="str">
        <f>IF(OR(F165="",G165=""),"",IFERROR(F165*VLOOKUP(G165,Setup!$A$38:$E$52,5,FALSE),""))</f>
        <v/>
      </c>
      <c r="O165" s="54" t="str">
        <f>IF(N165="","",IFERROR(N165/VLOOKUP("EUR",Setup!$A$38:$E$52,5,FALSE),""))</f>
        <v/>
      </c>
      <c r="P165" s="54" t="str">
        <f>IF(N165="","",IFERROR(N165/VLOOKUP("USD",Setup!$A$38:$E$52,5,FALSE),""))</f>
        <v/>
      </c>
      <c r="Q165" s="54" t="str">
        <f>IF(OR(J165="",K165=""),"",IFERROR(J165*VLOOKUP(K165,Setup!$A$38:$E$52,5,FALSE),""))</f>
        <v/>
      </c>
      <c r="R165" s="54" t="str">
        <f>IF(Q165="","",IFERROR(Q165/VLOOKUP("EUR",Setup!$A$38:$E$52,5,FALSE),""))</f>
        <v/>
      </c>
      <c r="S165" s="54" t="str">
        <f>IF(Q165="","",IFERROR(Q165/VLOOKUP("USD",Setup!$A$38:$E$52,5,FALSE),""))</f>
        <v/>
      </c>
    </row>
    <row r="166" ht="24.0" customHeight="1">
      <c r="A166" s="78"/>
      <c r="B166" s="78"/>
      <c r="C166" s="97" t="str">
        <f t="array" ref="C166">IF(B166="","",IFERROR(INDEX(Applications!$C$6:$C$205,MATCH(B166,Applications!$A$6:$A$205,0)),""))</f>
        <v/>
      </c>
      <c r="D166" s="99"/>
      <c r="E166" s="99"/>
      <c r="F166" s="104"/>
      <c r="G166" s="99"/>
      <c r="H166" s="78"/>
      <c r="I166" s="65"/>
      <c r="J166" s="104"/>
      <c r="K166" s="99"/>
      <c r="L166" s="110" t="b">
        <v>0</v>
      </c>
      <c r="M166" s="78"/>
      <c r="N166" s="54" t="str">
        <f>IF(OR(F166="",G166=""),"",IFERROR(F166*VLOOKUP(G166,Setup!$A$38:$E$52,5,FALSE),""))</f>
        <v/>
      </c>
      <c r="O166" s="54" t="str">
        <f>IF(N166="","",IFERROR(N166/VLOOKUP("EUR",Setup!$A$38:$E$52,5,FALSE),""))</f>
        <v/>
      </c>
      <c r="P166" s="54" t="str">
        <f>IF(N166="","",IFERROR(N166/VLOOKUP("USD",Setup!$A$38:$E$52,5,FALSE),""))</f>
        <v/>
      </c>
      <c r="Q166" s="54" t="str">
        <f>IF(OR(J166="",K166=""),"",IFERROR(J166*VLOOKUP(K166,Setup!$A$38:$E$52,5,FALSE),""))</f>
        <v/>
      </c>
      <c r="R166" s="54" t="str">
        <f>IF(Q166="","",IFERROR(Q166/VLOOKUP("EUR",Setup!$A$38:$E$52,5,FALSE),""))</f>
        <v/>
      </c>
      <c r="S166" s="54" t="str">
        <f>IF(Q166="","",IFERROR(Q166/VLOOKUP("USD",Setup!$A$38:$E$52,5,FALSE),""))</f>
        <v/>
      </c>
    </row>
    <row r="167" ht="24.0" customHeight="1">
      <c r="A167" s="78"/>
      <c r="B167" s="78"/>
      <c r="C167" s="97" t="str">
        <f t="array" ref="C167">IF(B167="","",IFERROR(INDEX(Applications!$C$6:$C$205,MATCH(B167,Applications!$A$6:$A$205,0)),""))</f>
        <v/>
      </c>
      <c r="D167" s="99"/>
      <c r="E167" s="99"/>
      <c r="F167" s="104"/>
      <c r="G167" s="99"/>
      <c r="H167" s="78"/>
      <c r="I167" s="65"/>
      <c r="J167" s="104"/>
      <c r="K167" s="99"/>
      <c r="L167" s="110" t="b">
        <v>0</v>
      </c>
      <c r="M167" s="78"/>
      <c r="N167" s="54" t="str">
        <f>IF(OR(F167="",G167=""),"",IFERROR(F167*VLOOKUP(G167,Setup!$A$38:$E$52,5,FALSE),""))</f>
        <v/>
      </c>
      <c r="O167" s="54" t="str">
        <f>IF(N167="","",IFERROR(N167/VLOOKUP("EUR",Setup!$A$38:$E$52,5,FALSE),""))</f>
        <v/>
      </c>
      <c r="P167" s="54" t="str">
        <f>IF(N167="","",IFERROR(N167/VLOOKUP("USD",Setup!$A$38:$E$52,5,FALSE),""))</f>
        <v/>
      </c>
      <c r="Q167" s="54" t="str">
        <f>IF(OR(J167="",K167=""),"",IFERROR(J167*VLOOKUP(K167,Setup!$A$38:$E$52,5,FALSE),""))</f>
        <v/>
      </c>
      <c r="R167" s="54" t="str">
        <f>IF(Q167="","",IFERROR(Q167/VLOOKUP("EUR",Setup!$A$38:$E$52,5,FALSE),""))</f>
        <v/>
      </c>
      <c r="S167" s="54" t="str">
        <f>IF(Q167="","",IFERROR(Q167/VLOOKUP("USD",Setup!$A$38:$E$52,5,FALSE),""))</f>
        <v/>
      </c>
    </row>
    <row r="168" ht="24.0" customHeight="1">
      <c r="A168" s="78"/>
      <c r="B168" s="78"/>
      <c r="C168" s="97" t="str">
        <f t="array" ref="C168">IF(B168="","",IFERROR(INDEX(Applications!$C$6:$C$205,MATCH(B168,Applications!$A$6:$A$205,0)),""))</f>
        <v/>
      </c>
      <c r="D168" s="99"/>
      <c r="E168" s="99"/>
      <c r="F168" s="104"/>
      <c r="G168" s="99"/>
      <c r="H168" s="78"/>
      <c r="I168" s="65"/>
      <c r="J168" s="104"/>
      <c r="K168" s="99"/>
      <c r="L168" s="110" t="b">
        <v>0</v>
      </c>
      <c r="M168" s="78"/>
      <c r="N168" s="54" t="str">
        <f>IF(OR(F168="",G168=""),"",IFERROR(F168*VLOOKUP(G168,Setup!$A$38:$E$52,5,FALSE),""))</f>
        <v/>
      </c>
      <c r="O168" s="54" t="str">
        <f>IF(N168="","",IFERROR(N168/VLOOKUP("EUR",Setup!$A$38:$E$52,5,FALSE),""))</f>
        <v/>
      </c>
      <c r="P168" s="54" t="str">
        <f>IF(N168="","",IFERROR(N168/VLOOKUP("USD",Setup!$A$38:$E$52,5,FALSE),""))</f>
        <v/>
      </c>
      <c r="Q168" s="54" t="str">
        <f>IF(OR(J168="",K168=""),"",IFERROR(J168*VLOOKUP(K168,Setup!$A$38:$E$52,5,FALSE),""))</f>
        <v/>
      </c>
      <c r="R168" s="54" t="str">
        <f>IF(Q168="","",IFERROR(Q168/VLOOKUP("EUR",Setup!$A$38:$E$52,5,FALSE),""))</f>
        <v/>
      </c>
      <c r="S168" s="54" t="str">
        <f>IF(Q168="","",IFERROR(Q168/VLOOKUP("USD",Setup!$A$38:$E$52,5,FALSE),""))</f>
        <v/>
      </c>
    </row>
    <row r="169" ht="24.0" customHeight="1">
      <c r="A169" s="78"/>
      <c r="B169" s="78"/>
      <c r="C169" s="97" t="str">
        <f t="array" ref="C169">IF(B169="","",IFERROR(INDEX(Applications!$C$6:$C$205,MATCH(B169,Applications!$A$6:$A$205,0)),""))</f>
        <v/>
      </c>
      <c r="D169" s="99"/>
      <c r="E169" s="99"/>
      <c r="F169" s="104"/>
      <c r="G169" s="99"/>
      <c r="H169" s="78"/>
      <c r="I169" s="65"/>
      <c r="J169" s="104"/>
      <c r="K169" s="99"/>
      <c r="L169" s="110" t="b">
        <v>0</v>
      </c>
      <c r="M169" s="78"/>
      <c r="N169" s="54" t="str">
        <f>IF(OR(F169="",G169=""),"",IFERROR(F169*VLOOKUP(G169,Setup!$A$38:$E$52,5,FALSE),""))</f>
        <v/>
      </c>
      <c r="O169" s="54" t="str">
        <f>IF(N169="","",IFERROR(N169/VLOOKUP("EUR",Setup!$A$38:$E$52,5,FALSE),""))</f>
        <v/>
      </c>
      <c r="P169" s="54" t="str">
        <f>IF(N169="","",IFERROR(N169/VLOOKUP("USD",Setup!$A$38:$E$52,5,FALSE),""))</f>
        <v/>
      </c>
      <c r="Q169" s="54" t="str">
        <f>IF(OR(J169="",K169=""),"",IFERROR(J169*VLOOKUP(K169,Setup!$A$38:$E$52,5,FALSE),""))</f>
        <v/>
      </c>
      <c r="R169" s="54" t="str">
        <f>IF(Q169="","",IFERROR(Q169/VLOOKUP("EUR",Setup!$A$38:$E$52,5,FALSE),""))</f>
        <v/>
      </c>
      <c r="S169" s="54" t="str">
        <f>IF(Q169="","",IFERROR(Q169/VLOOKUP("USD",Setup!$A$38:$E$52,5,FALSE),""))</f>
        <v/>
      </c>
    </row>
    <row r="170" ht="24.0" customHeight="1">
      <c r="A170" s="78"/>
      <c r="B170" s="78"/>
      <c r="C170" s="97" t="str">
        <f t="array" ref="C170">IF(B170="","",IFERROR(INDEX(Applications!$C$6:$C$205,MATCH(B170,Applications!$A$6:$A$205,0)),""))</f>
        <v/>
      </c>
      <c r="D170" s="99"/>
      <c r="E170" s="99"/>
      <c r="F170" s="104"/>
      <c r="G170" s="99"/>
      <c r="H170" s="78"/>
      <c r="I170" s="65"/>
      <c r="J170" s="104"/>
      <c r="K170" s="99"/>
      <c r="L170" s="110" t="b">
        <v>0</v>
      </c>
      <c r="M170" s="78"/>
      <c r="N170" s="54" t="str">
        <f>IF(OR(F170="",G170=""),"",IFERROR(F170*VLOOKUP(G170,Setup!$A$38:$E$52,5,FALSE),""))</f>
        <v/>
      </c>
      <c r="O170" s="54" t="str">
        <f>IF(N170="","",IFERROR(N170/VLOOKUP("EUR",Setup!$A$38:$E$52,5,FALSE),""))</f>
        <v/>
      </c>
      <c r="P170" s="54" t="str">
        <f>IF(N170="","",IFERROR(N170/VLOOKUP("USD",Setup!$A$38:$E$52,5,FALSE),""))</f>
        <v/>
      </c>
      <c r="Q170" s="54" t="str">
        <f>IF(OR(J170="",K170=""),"",IFERROR(J170*VLOOKUP(K170,Setup!$A$38:$E$52,5,FALSE),""))</f>
        <v/>
      </c>
      <c r="R170" s="54" t="str">
        <f>IF(Q170="","",IFERROR(Q170/VLOOKUP("EUR",Setup!$A$38:$E$52,5,FALSE),""))</f>
        <v/>
      </c>
      <c r="S170" s="54" t="str">
        <f>IF(Q170="","",IFERROR(Q170/VLOOKUP("USD",Setup!$A$38:$E$52,5,FALSE),""))</f>
        <v/>
      </c>
    </row>
    <row r="171" ht="24.0" customHeight="1">
      <c r="A171" s="78"/>
      <c r="B171" s="78"/>
      <c r="C171" s="97" t="str">
        <f t="array" ref="C171">IF(B171="","",IFERROR(INDEX(Applications!$C$6:$C$205,MATCH(B171,Applications!$A$6:$A$205,0)),""))</f>
        <v/>
      </c>
      <c r="D171" s="99"/>
      <c r="E171" s="99"/>
      <c r="F171" s="104"/>
      <c r="G171" s="99"/>
      <c r="H171" s="78"/>
      <c r="I171" s="65"/>
      <c r="J171" s="104"/>
      <c r="K171" s="99"/>
      <c r="L171" s="110" t="b">
        <v>0</v>
      </c>
      <c r="M171" s="78"/>
      <c r="N171" s="54" t="str">
        <f>IF(OR(F171="",G171=""),"",IFERROR(F171*VLOOKUP(G171,Setup!$A$38:$E$52,5,FALSE),""))</f>
        <v/>
      </c>
      <c r="O171" s="54" t="str">
        <f>IF(N171="","",IFERROR(N171/VLOOKUP("EUR",Setup!$A$38:$E$52,5,FALSE),""))</f>
        <v/>
      </c>
      <c r="P171" s="54" t="str">
        <f>IF(N171="","",IFERROR(N171/VLOOKUP("USD",Setup!$A$38:$E$52,5,FALSE),""))</f>
        <v/>
      </c>
      <c r="Q171" s="54" t="str">
        <f>IF(OR(J171="",K171=""),"",IFERROR(J171*VLOOKUP(K171,Setup!$A$38:$E$52,5,FALSE),""))</f>
        <v/>
      </c>
      <c r="R171" s="54" t="str">
        <f>IF(Q171="","",IFERROR(Q171/VLOOKUP("EUR",Setup!$A$38:$E$52,5,FALSE),""))</f>
        <v/>
      </c>
      <c r="S171" s="54" t="str">
        <f>IF(Q171="","",IFERROR(Q171/VLOOKUP("USD",Setup!$A$38:$E$52,5,FALSE),""))</f>
        <v/>
      </c>
    </row>
    <row r="172" ht="24.0" customHeight="1">
      <c r="A172" s="78"/>
      <c r="B172" s="78"/>
      <c r="C172" s="97" t="str">
        <f t="array" ref="C172">IF(B172="","",IFERROR(INDEX(Applications!$C$6:$C$205,MATCH(B172,Applications!$A$6:$A$205,0)),""))</f>
        <v/>
      </c>
      <c r="D172" s="99"/>
      <c r="E172" s="99"/>
      <c r="F172" s="104"/>
      <c r="G172" s="99"/>
      <c r="H172" s="78"/>
      <c r="I172" s="65"/>
      <c r="J172" s="104"/>
      <c r="K172" s="99"/>
      <c r="L172" s="110" t="b">
        <v>0</v>
      </c>
      <c r="M172" s="78"/>
      <c r="N172" s="54" t="str">
        <f>IF(OR(F172="",G172=""),"",IFERROR(F172*VLOOKUP(G172,Setup!$A$38:$E$52,5,FALSE),""))</f>
        <v/>
      </c>
      <c r="O172" s="54" t="str">
        <f>IF(N172="","",IFERROR(N172/VLOOKUP("EUR",Setup!$A$38:$E$52,5,FALSE),""))</f>
        <v/>
      </c>
      <c r="P172" s="54" t="str">
        <f>IF(N172="","",IFERROR(N172/VLOOKUP("USD",Setup!$A$38:$E$52,5,FALSE),""))</f>
        <v/>
      </c>
      <c r="Q172" s="54" t="str">
        <f>IF(OR(J172="",K172=""),"",IFERROR(J172*VLOOKUP(K172,Setup!$A$38:$E$52,5,FALSE),""))</f>
        <v/>
      </c>
      <c r="R172" s="54" t="str">
        <f>IF(Q172="","",IFERROR(Q172/VLOOKUP("EUR",Setup!$A$38:$E$52,5,FALSE),""))</f>
        <v/>
      </c>
      <c r="S172" s="54" t="str">
        <f>IF(Q172="","",IFERROR(Q172/VLOOKUP("USD",Setup!$A$38:$E$52,5,FALSE),""))</f>
        <v/>
      </c>
    </row>
    <row r="173" ht="24.0" customHeight="1">
      <c r="A173" s="78"/>
      <c r="B173" s="78"/>
      <c r="C173" s="97" t="str">
        <f t="array" ref="C173">IF(B173="","",IFERROR(INDEX(Applications!$C$6:$C$205,MATCH(B173,Applications!$A$6:$A$205,0)),""))</f>
        <v/>
      </c>
      <c r="D173" s="99"/>
      <c r="E173" s="99"/>
      <c r="F173" s="104"/>
      <c r="G173" s="99"/>
      <c r="H173" s="78"/>
      <c r="I173" s="65"/>
      <c r="J173" s="104"/>
      <c r="K173" s="99"/>
      <c r="L173" s="110" t="b">
        <v>0</v>
      </c>
      <c r="M173" s="78"/>
      <c r="N173" s="54" t="str">
        <f>IF(OR(F173="",G173=""),"",IFERROR(F173*VLOOKUP(G173,Setup!$A$38:$E$52,5,FALSE),""))</f>
        <v/>
      </c>
      <c r="O173" s="54" t="str">
        <f>IF(N173="","",IFERROR(N173/VLOOKUP("EUR",Setup!$A$38:$E$52,5,FALSE),""))</f>
        <v/>
      </c>
      <c r="P173" s="54" t="str">
        <f>IF(N173="","",IFERROR(N173/VLOOKUP("USD",Setup!$A$38:$E$52,5,FALSE),""))</f>
        <v/>
      </c>
      <c r="Q173" s="54" t="str">
        <f>IF(OR(J173="",K173=""),"",IFERROR(J173*VLOOKUP(K173,Setup!$A$38:$E$52,5,FALSE),""))</f>
        <v/>
      </c>
      <c r="R173" s="54" t="str">
        <f>IF(Q173="","",IFERROR(Q173/VLOOKUP("EUR",Setup!$A$38:$E$52,5,FALSE),""))</f>
        <v/>
      </c>
      <c r="S173" s="54" t="str">
        <f>IF(Q173="","",IFERROR(Q173/VLOOKUP("USD",Setup!$A$38:$E$52,5,FALSE),""))</f>
        <v/>
      </c>
    </row>
    <row r="174" ht="24.0" customHeight="1">
      <c r="A174" s="78"/>
      <c r="B174" s="78"/>
      <c r="C174" s="97" t="str">
        <f t="array" ref="C174">IF(B174="","",IFERROR(INDEX(Applications!$C$6:$C$205,MATCH(B174,Applications!$A$6:$A$205,0)),""))</f>
        <v/>
      </c>
      <c r="D174" s="99"/>
      <c r="E174" s="99"/>
      <c r="F174" s="104"/>
      <c r="G174" s="99"/>
      <c r="H174" s="78"/>
      <c r="I174" s="65"/>
      <c r="J174" s="104"/>
      <c r="K174" s="99"/>
      <c r="L174" s="110" t="b">
        <v>0</v>
      </c>
      <c r="M174" s="78"/>
      <c r="N174" s="54" t="str">
        <f>IF(OR(F174="",G174=""),"",IFERROR(F174*VLOOKUP(G174,Setup!$A$38:$E$52,5,FALSE),""))</f>
        <v/>
      </c>
      <c r="O174" s="54" t="str">
        <f>IF(N174="","",IFERROR(N174/VLOOKUP("EUR",Setup!$A$38:$E$52,5,FALSE),""))</f>
        <v/>
      </c>
      <c r="P174" s="54" t="str">
        <f>IF(N174="","",IFERROR(N174/VLOOKUP("USD",Setup!$A$38:$E$52,5,FALSE),""))</f>
        <v/>
      </c>
      <c r="Q174" s="54" t="str">
        <f>IF(OR(J174="",K174=""),"",IFERROR(J174*VLOOKUP(K174,Setup!$A$38:$E$52,5,FALSE),""))</f>
        <v/>
      </c>
      <c r="R174" s="54" t="str">
        <f>IF(Q174="","",IFERROR(Q174/VLOOKUP("EUR",Setup!$A$38:$E$52,5,FALSE),""))</f>
        <v/>
      </c>
      <c r="S174" s="54" t="str">
        <f>IF(Q174="","",IFERROR(Q174/VLOOKUP("USD",Setup!$A$38:$E$52,5,FALSE),""))</f>
        <v/>
      </c>
    </row>
    <row r="175" ht="24.0" customHeight="1">
      <c r="A175" s="78"/>
      <c r="B175" s="78"/>
      <c r="C175" s="97" t="str">
        <f t="array" ref="C175">IF(B175="","",IFERROR(INDEX(Applications!$C$6:$C$205,MATCH(B175,Applications!$A$6:$A$205,0)),""))</f>
        <v/>
      </c>
      <c r="D175" s="99"/>
      <c r="E175" s="99"/>
      <c r="F175" s="104"/>
      <c r="G175" s="99"/>
      <c r="H175" s="78"/>
      <c r="I175" s="65"/>
      <c r="J175" s="104"/>
      <c r="K175" s="99"/>
      <c r="L175" s="110" t="b">
        <v>0</v>
      </c>
      <c r="M175" s="78"/>
      <c r="N175" s="54" t="str">
        <f>IF(OR(F175="",G175=""),"",IFERROR(F175*VLOOKUP(G175,Setup!$A$38:$E$52,5,FALSE),""))</f>
        <v/>
      </c>
      <c r="O175" s="54" t="str">
        <f>IF(N175="","",IFERROR(N175/VLOOKUP("EUR",Setup!$A$38:$E$52,5,FALSE),""))</f>
        <v/>
      </c>
      <c r="P175" s="54" t="str">
        <f>IF(N175="","",IFERROR(N175/VLOOKUP("USD",Setup!$A$38:$E$52,5,FALSE),""))</f>
        <v/>
      </c>
      <c r="Q175" s="54" t="str">
        <f>IF(OR(J175="",K175=""),"",IFERROR(J175*VLOOKUP(K175,Setup!$A$38:$E$52,5,FALSE),""))</f>
        <v/>
      </c>
      <c r="R175" s="54" t="str">
        <f>IF(Q175="","",IFERROR(Q175/VLOOKUP("EUR",Setup!$A$38:$E$52,5,FALSE),""))</f>
        <v/>
      </c>
      <c r="S175" s="54" t="str">
        <f>IF(Q175="","",IFERROR(Q175/VLOOKUP("USD",Setup!$A$38:$E$52,5,FALSE),""))</f>
        <v/>
      </c>
    </row>
    <row r="176" ht="24.0" customHeight="1">
      <c r="A176" s="78"/>
      <c r="B176" s="78"/>
      <c r="C176" s="97" t="str">
        <f t="array" ref="C176">IF(B176="","",IFERROR(INDEX(Applications!$C$6:$C$205,MATCH(B176,Applications!$A$6:$A$205,0)),""))</f>
        <v/>
      </c>
      <c r="D176" s="99"/>
      <c r="E176" s="99"/>
      <c r="F176" s="104"/>
      <c r="G176" s="99"/>
      <c r="H176" s="78"/>
      <c r="I176" s="65"/>
      <c r="J176" s="104"/>
      <c r="K176" s="99"/>
      <c r="L176" s="110" t="b">
        <v>0</v>
      </c>
      <c r="M176" s="78"/>
      <c r="N176" s="54" t="str">
        <f>IF(OR(F176="",G176=""),"",IFERROR(F176*VLOOKUP(G176,Setup!$A$38:$E$52,5,FALSE),""))</f>
        <v/>
      </c>
      <c r="O176" s="54" t="str">
        <f>IF(N176="","",IFERROR(N176/VLOOKUP("EUR",Setup!$A$38:$E$52,5,FALSE),""))</f>
        <v/>
      </c>
      <c r="P176" s="54" t="str">
        <f>IF(N176="","",IFERROR(N176/VLOOKUP("USD",Setup!$A$38:$E$52,5,FALSE),""))</f>
        <v/>
      </c>
      <c r="Q176" s="54" t="str">
        <f>IF(OR(J176="",K176=""),"",IFERROR(J176*VLOOKUP(K176,Setup!$A$38:$E$52,5,FALSE),""))</f>
        <v/>
      </c>
      <c r="R176" s="54" t="str">
        <f>IF(Q176="","",IFERROR(Q176/VLOOKUP("EUR",Setup!$A$38:$E$52,5,FALSE),""))</f>
        <v/>
      </c>
      <c r="S176" s="54" t="str">
        <f>IF(Q176="","",IFERROR(Q176/VLOOKUP("USD",Setup!$A$38:$E$52,5,FALSE),""))</f>
        <v/>
      </c>
    </row>
    <row r="177" ht="24.0" customHeight="1">
      <c r="A177" s="78"/>
      <c r="B177" s="78"/>
      <c r="C177" s="97" t="str">
        <f t="array" ref="C177">IF(B177="","",IFERROR(INDEX(Applications!$C$6:$C$205,MATCH(B177,Applications!$A$6:$A$205,0)),""))</f>
        <v/>
      </c>
      <c r="D177" s="99"/>
      <c r="E177" s="99"/>
      <c r="F177" s="104"/>
      <c r="G177" s="99"/>
      <c r="H177" s="78"/>
      <c r="I177" s="65"/>
      <c r="J177" s="104"/>
      <c r="K177" s="99"/>
      <c r="L177" s="110" t="b">
        <v>0</v>
      </c>
      <c r="M177" s="78"/>
      <c r="N177" s="54" t="str">
        <f>IF(OR(F177="",G177=""),"",IFERROR(F177*VLOOKUP(G177,Setup!$A$38:$E$52,5,FALSE),""))</f>
        <v/>
      </c>
      <c r="O177" s="54" t="str">
        <f>IF(N177="","",IFERROR(N177/VLOOKUP("EUR",Setup!$A$38:$E$52,5,FALSE),""))</f>
        <v/>
      </c>
      <c r="P177" s="54" t="str">
        <f>IF(N177="","",IFERROR(N177/VLOOKUP("USD",Setup!$A$38:$E$52,5,FALSE),""))</f>
        <v/>
      </c>
      <c r="Q177" s="54" t="str">
        <f>IF(OR(J177="",K177=""),"",IFERROR(J177*VLOOKUP(K177,Setup!$A$38:$E$52,5,FALSE),""))</f>
        <v/>
      </c>
      <c r="R177" s="54" t="str">
        <f>IF(Q177="","",IFERROR(Q177/VLOOKUP("EUR",Setup!$A$38:$E$52,5,FALSE),""))</f>
        <v/>
      </c>
      <c r="S177" s="54" t="str">
        <f>IF(Q177="","",IFERROR(Q177/VLOOKUP("USD",Setup!$A$38:$E$52,5,FALSE),""))</f>
        <v/>
      </c>
    </row>
    <row r="178" ht="24.0" customHeight="1">
      <c r="A178" s="78"/>
      <c r="B178" s="78"/>
      <c r="C178" s="97" t="str">
        <f t="array" ref="C178">IF(B178="","",IFERROR(INDEX(Applications!$C$6:$C$205,MATCH(B178,Applications!$A$6:$A$205,0)),""))</f>
        <v/>
      </c>
      <c r="D178" s="99"/>
      <c r="E178" s="99"/>
      <c r="F178" s="104"/>
      <c r="G178" s="99"/>
      <c r="H178" s="78"/>
      <c r="I178" s="65"/>
      <c r="J178" s="104"/>
      <c r="K178" s="99"/>
      <c r="L178" s="110" t="b">
        <v>0</v>
      </c>
      <c r="M178" s="78"/>
      <c r="N178" s="54" t="str">
        <f>IF(OR(F178="",G178=""),"",IFERROR(F178*VLOOKUP(G178,Setup!$A$38:$E$52,5,FALSE),""))</f>
        <v/>
      </c>
      <c r="O178" s="54" t="str">
        <f>IF(N178="","",IFERROR(N178/VLOOKUP("EUR",Setup!$A$38:$E$52,5,FALSE),""))</f>
        <v/>
      </c>
      <c r="P178" s="54" t="str">
        <f>IF(N178="","",IFERROR(N178/VLOOKUP("USD",Setup!$A$38:$E$52,5,FALSE),""))</f>
        <v/>
      </c>
      <c r="Q178" s="54" t="str">
        <f>IF(OR(J178="",K178=""),"",IFERROR(J178*VLOOKUP(K178,Setup!$A$38:$E$52,5,FALSE),""))</f>
        <v/>
      </c>
      <c r="R178" s="54" t="str">
        <f>IF(Q178="","",IFERROR(Q178/VLOOKUP("EUR",Setup!$A$38:$E$52,5,FALSE),""))</f>
        <v/>
      </c>
      <c r="S178" s="54" t="str">
        <f>IF(Q178="","",IFERROR(Q178/VLOOKUP("USD",Setup!$A$38:$E$52,5,FALSE),""))</f>
        <v/>
      </c>
    </row>
    <row r="179" ht="24.0" customHeight="1">
      <c r="A179" s="78"/>
      <c r="B179" s="78"/>
      <c r="C179" s="97" t="str">
        <f t="array" ref="C179">IF(B179="","",IFERROR(INDEX(Applications!$C$6:$C$205,MATCH(B179,Applications!$A$6:$A$205,0)),""))</f>
        <v/>
      </c>
      <c r="D179" s="99"/>
      <c r="E179" s="99"/>
      <c r="F179" s="104"/>
      <c r="G179" s="99"/>
      <c r="H179" s="78"/>
      <c r="I179" s="65"/>
      <c r="J179" s="104"/>
      <c r="K179" s="99"/>
      <c r="L179" s="110" t="b">
        <v>0</v>
      </c>
      <c r="M179" s="78"/>
      <c r="N179" s="54" t="str">
        <f>IF(OR(F179="",G179=""),"",IFERROR(F179*VLOOKUP(G179,Setup!$A$38:$E$52,5,FALSE),""))</f>
        <v/>
      </c>
      <c r="O179" s="54" t="str">
        <f>IF(N179="","",IFERROR(N179/VLOOKUP("EUR",Setup!$A$38:$E$52,5,FALSE),""))</f>
        <v/>
      </c>
      <c r="P179" s="54" t="str">
        <f>IF(N179="","",IFERROR(N179/VLOOKUP("USD",Setup!$A$38:$E$52,5,FALSE),""))</f>
        <v/>
      </c>
      <c r="Q179" s="54" t="str">
        <f>IF(OR(J179="",K179=""),"",IFERROR(J179*VLOOKUP(K179,Setup!$A$38:$E$52,5,FALSE),""))</f>
        <v/>
      </c>
      <c r="R179" s="54" t="str">
        <f>IF(Q179="","",IFERROR(Q179/VLOOKUP("EUR",Setup!$A$38:$E$52,5,FALSE),""))</f>
        <v/>
      </c>
      <c r="S179" s="54" t="str">
        <f>IF(Q179="","",IFERROR(Q179/VLOOKUP("USD",Setup!$A$38:$E$52,5,FALSE),""))</f>
        <v/>
      </c>
    </row>
    <row r="180" ht="24.0" customHeight="1">
      <c r="A180" s="78"/>
      <c r="B180" s="78"/>
      <c r="C180" s="97" t="str">
        <f t="array" ref="C180">IF(B180="","",IFERROR(INDEX(Applications!$C$6:$C$205,MATCH(B180,Applications!$A$6:$A$205,0)),""))</f>
        <v/>
      </c>
      <c r="D180" s="99"/>
      <c r="E180" s="99"/>
      <c r="F180" s="104"/>
      <c r="G180" s="99"/>
      <c r="H180" s="78"/>
      <c r="I180" s="65"/>
      <c r="J180" s="104"/>
      <c r="K180" s="99"/>
      <c r="L180" s="110" t="b">
        <v>0</v>
      </c>
      <c r="M180" s="78"/>
      <c r="N180" s="54" t="str">
        <f>IF(OR(F180="",G180=""),"",IFERROR(F180*VLOOKUP(G180,Setup!$A$38:$E$52,5,FALSE),""))</f>
        <v/>
      </c>
      <c r="O180" s="54" t="str">
        <f>IF(N180="","",IFERROR(N180/VLOOKUP("EUR",Setup!$A$38:$E$52,5,FALSE),""))</f>
        <v/>
      </c>
      <c r="P180" s="54" t="str">
        <f>IF(N180="","",IFERROR(N180/VLOOKUP("USD",Setup!$A$38:$E$52,5,FALSE),""))</f>
        <v/>
      </c>
      <c r="Q180" s="54" t="str">
        <f>IF(OR(J180="",K180=""),"",IFERROR(J180*VLOOKUP(K180,Setup!$A$38:$E$52,5,FALSE),""))</f>
        <v/>
      </c>
      <c r="R180" s="54" t="str">
        <f>IF(Q180="","",IFERROR(Q180/VLOOKUP("EUR",Setup!$A$38:$E$52,5,FALSE),""))</f>
        <v/>
      </c>
      <c r="S180" s="54" t="str">
        <f>IF(Q180="","",IFERROR(Q180/VLOOKUP("USD",Setup!$A$38:$E$52,5,FALSE),""))</f>
        <v/>
      </c>
    </row>
    <row r="181" ht="24.0" customHeight="1">
      <c r="A181" s="78"/>
      <c r="B181" s="78"/>
      <c r="C181" s="97" t="str">
        <f t="array" ref="C181">IF(B181="","",IFERROR(INDEX(Applications!$C$6:$C$205,MATCH(B181,Applications!$A$6:$A$205,0)),""))</f>
        <v/>
      </c>
      <c r="D181" s="99"/>
      <c r="E181" s="99"/>
      <c r="F181" s="104"/>
      <c r="G181" s="99"/>
      <c r="H181" s="78"/>
      <c r="I181" s="65"/>
      <c r="J181" s="104"/>
      <c r="K181" s="99"/>
      <c r="L181" s="110" t="b">
        <v>0</v>
      </c>
      <c r="M181" s="78"/>
      <c r="N181" s="54" t="str">
        <f>IF(OR(F181="",G181=""),"",IFERROR(F181*VLOOKUP(G181,Setup!$A$38:$E$52,5,FALSE),""))</f>
        <v/>
      </c>
      <c r="O181" s="54" t="str">
        <f>IF(N181="","",IFERROR(N181/VLOOKUP("EUR",Setup!$A$38:$E$52,5,FALSE),""))</f>
        <v/>
      </c>
      <c r="P181" s="54" t="str">
        <f>IF(N181="","",IFERROR(N181/VLOOKUP("USD",Setup!$A$38:$E$52,5,FALSE),""))</f>
        <v/>
      </c>
      <c r="Q181" s="54" t="str">
        <f>IF(OR(J181="",K181=""),"",IFERROR(J181*VLOOKUP(K181,Setup!$A$38:$E$52,5,FALSE),""))</f>
        <v/>
      </c>
      <c r="R181" s="54" t="str">
        <f>IF(Q181="","",IFERROR(Q181/VLOOKUP("EUR",Setup!$A$38:$E$52,5,FALSE),""))</f>
        <v/>
      </c>
      <c r="S181" s="54" t="str">
        <f>IF(Q181="","",IFERROR(Q181/VLOOKUP("USD",Setup!$A$38:$E$52,5,FALSE),""))</f>
        <v/>
      </c>
    </row>
    <row r="182" ht="24.0" customHeight="1">
      <c r="A182" s="78"/>
      <c r="B182" s="78"/>
      <c r="C182" s="97" t="str">
        <f t="array" ref="C182">IF(B182="","",IFERROR(INDEX(Applications!$C$6:$C$205,MATCH(B182,Applications!$A$6:$A$205,0)),""))</f>
        <v/>
      </c>
      <c r="D182" s="99"/>
      <c r="E182" s="99"/>
      <c r="F182" s="104"/>
      <c r="G182" s="99"/>
      <c r="H182" s="78"/>
      <c r="I182" s="65"/>
      <c r="J182" s="104"/>
      <c r="K182" s="99"/>
      <c r="L182" s="110" t="b">
        <v>0</v>
      </c>
      <c r="M182" s="78"/>
      <c r="N182" s="54" t="str">
        <f>IF(OR(F182="",G182=""),"",IFERROR(F182*VLOOKUP(G182,Setup!$A$38:$E$52,5,FALSE),""))</f>
        <v/>
      </c>
      <c r="O182" s="54" t="str">
        <f>IF(N182="","",IFERROR(N182/VLOOKUP("EUR",Setup!$A$38:$E$52,5,FALSE),""))</f>
        <v/>
      </c>
      <c r="P182" s="54" t="str">
        <f>IF(N182="","",IFERROR(N182/VLOOKUP("USD",Setup!$A$38:$E$52,5,FALSE),""))</f>
        <v/>
      </c>
      <c r="Q182" s="54" t="str">
        <f>IF(OR(J182="",K182=""),"",IFERROR(J182*VLOOKUP(K182,Setup!$A$38:$E$52,5,FALSE),""))</f>
        <v/>
      </c>
      <c r="R182" s="54" t="str">
        <f>IF(Q182="","",IFERROR(Q182/VLOOKUP("EUR",Setup!$A$38:$E$52,5,FALSE),""))</f>
        <v/>
      </c>
      <c r="S182" s="54" t="str">
        <f>IF(Q182="","",IFERROR(Q182/VLOOKUP("USD",Setup!$A$38:$E$52,5,FALSE),""))</f>
        <v/>
      </c>
    </row>
    <row r="183" ht="24.0" customHeight="1">
      <c r="A183" s="78"/>
      <c r="B183" s="78"/>
      <c r="C183" s="97" t="str">
        <f t="array" ref="C183">IF(B183="","",IFERROR(INDEX(Applications!$C$6:$C$205,MATCH(B183,Applications!$A$6:$A$205,0)),""))</f>
        <v/>
      </c>
      <c r="D183" s="99"/>
      <c r="E183" s="99"/>
      <c r="F183" s="104"/>
      <c r="G183" s="99"/>
      <c r="H183" s="78"/>
      <c r="I183" s="65"/>
      <c r="J183" s="104"/>
      <c r="K183" s="99"/>
      <c r="L183" s="110" t="b">
        <v>0</v>
      </c>
      <c r="M183" s="78"/>
      <c r="N183" s="54" t="str">
        <f>IF(OR(F183="",G183=""),"",IFERROR(F183*VLOOKUP(G183,Setup!$A$38:$E$52,5,FALSE),""))</f>
        <v/>
      </c>
      <c r="O183" s="54" t="str">
        <f>IF(N183="","",IFERROR(N183/VLOOKUP("EUR",Setup!$A$38:$E$52,5,FALSE),""))</f>
        <v/>
      </c>
      <c r="P183" s="54" t="str">
        <f>IF(N183="","",IFERROR(N183/VLOOKUP("USD",Setup!$A$38:$E$52,5,FALSE),""))</f>
        <v/>
      </c>
      <c r="Q183" s="54" t="str">
        <f>IF(OR(J183="",K183=""),"",IFERROR(J183*VLOOKUP(K183,Setup!$A$38:$E$52,5,FALSE),""))</f>
        <v/>
      </c>
      <c r="R183" s="54" t="str">
        <f>IF(Q183="","",IFERROR(Q183/VLOOKUP("EUR",Setup!$A$38:$E$52,5,FALSE),""))</f>
        <v/>
      </c>
      <c r="S183" s="54" t="str">
        <f>IF(Q183="","",IFERROR(Q183/VLOOKUP("USD",Setup!$A$38:$E$52,5,FALSE),""))</f>
        <v/>
      </c>
    </row>
    <row r="184" ht="24.0" customHeight="1">
      <c r="A184" s="78"/>
      <c r="B184" s="78"/>
      <c r="C184" s="97" t="str">
        <f t="array" ref="C184">IF(B184="","",IFERROR(INDEX(Applications!$C$6:$C$205,MATCH(B184,Applications!$A$6:$A$205,0)),""))</f>
        <v/>
      </c>
      <c r="D184" s="99"/>
      <c r="E184" s="99"/>
      <c r="F184" s="104"/>
      <c r="G184" s="99"/>
      <c r="H184" s="78"/>
      <c r="I184" s="65"/>
      <c r="J184" s="104"/>
      <c r="K184" s="99"/>
      <c r="L184" s="110" t="b">
        <v>0</v>
      </c>
      <c r="M184" s="78"/>
      <c r="N184" s="54" t="str">
        <f>IF(OR(F184="",G184=""),"",IFERROR(F184*VLOOKUP(G184,Setup!$A$38:$E$52,5,FALSE),""))</f>
        <v/>
      </c>
      <c r="O184" s="54" t="str">
        <f>IF(N184="","",IFERROR(N184/VLOOKUP("EUR",Setup!$A$38:$E$52,5,FALSE),""))</f>
        <v/>
      </c>
      <c r="P184" s="54" t="str">
        <f>IF(N184="","",IFERROR(N184/VLOOKUP("USD",Setup!$A$38:$E$52,5,FALSE),""))</f>
        <v/>
      </c>
      <c r="Q184" s="54" t="str">
        <f>IF(OR(J184="",K184=""),"",IFERROR(J184*VLOOKUP(K184,Setup!$A$38:$E$52,5,FALSE),""))</f>
        <v/>
      </c>
      <c r="R184" s="54" t="str">
        <f>IF(Q184="","",IFERROR(Q184/VLOOKUP("EUR",Setup!$A$38:$E$52,5,FALSE),""))</f>
        <v/>
      </c>
      <c r="S184" s="54" t="str">
        <f>IF(Q184="","",IFERROR(Q184/VLOOKUP("USD",Setup!$A$38:$E$52,5,FALSE),""))</f>
        <v/>
      </c>
    </row>
    <row r="185" ht="24.0" customHeight="1">
      <c r="A185" s="78"/>
      <c r="B185" s="78"/>
      <c r="C185" s="97" t="str">
        <f t="array" ref="C185">IF(B185="","",IFERROR(INDEX(Applications!$C$6:$C$205,MATCH(B185,Applications!$A$6:$A$205,0)),""))</f>
        <v/>
      </c>
      <c r="D185" s="99"/>
      <c r="E185" s="99"/>
      <c r="F185" s="104"/>
      <c r="G185" s="99"/>
      <c r="H185" s="78"/>
      <c r="I185" s="65"/>
      <c r="J185" s="104"/>
      <c r="K185" s="99"/>
      <c r="L185" s="110" t="b">
        <v>0</v>
      </c>
      <c r="M185" s="78"/>
      <c r="N185" s="54" t="str">
        <f>IF(OR(F185="",G185=""),"",IFERROR(F185*VLOOKUP(G185,Setup!$A$38:$E$52,5,FALSE),""))</f>
        <v/>
      </c>
      <c r="O185" s="54" t="str">
        <f>IF(N185="","",IFERROR(N185/VLOOKUP("EUR",Setup!$A$38:$E$52,5,FALSE),""))</f>
        <v/>
      </c>
      <c r="P185" s="54" t="str">
        <f>IF(N185="","",IFERROR(N185/VLOOKUP("USD",Setup!$A$38:$E$52,5,FALSE),""))</f>
        <v/>
      </c>
      <c r="Q185" s="54" t="str">
        <f>IF(OR(J185="",K185=""),"",IFERROR(J185*VLOOKUP(K185,Setup!$A$38:$E$52,5,FALSE),""))</f>
        <v/>
      </c>
      <c r="R185" s="54" t="str">
        <f>IF(Q185="","",IFERROR(Q185/VLOOKUP("EUR",Setup!$A$38:$E$52,5,FALSE),""))</f>
        <v/>
      </c>
      <c r="S185" s="54" t="str">
        <f>IF(Q185="","",IFERROR(Q185/VLOOKUP("USD",Setup!$A$38:$E$52,5,FALSE),""))</f>
        <v/>
      </c>
    </row>
    <row r="186" ht="24.0" customHeight="1">
      <c r="A186" s="78"/>
      <c r="B186" s="78"/>
      <c r="C186" s="97" t="str">
        <f t="array" ref="C186">IF(B186="","",IFERROR(INDEX(Applications!$C$6:$C$205,MATCH(B186,Applications!$A$6:$A$205,0)),""))</f>
        <v/>
      </c>
      <c r="D186" s="99"/>
      <c r="E186" s="99"/>
      <c r="F186" s="104"/>
      <c r="G186" s="99"/>
      <c r="H186" s="78"/>
      <c r="I186" s="65"/>
      <c r="J186" s="104"/>
      <c r="K186" s="99"/>
      <c r="L186" s="110" t="b">
        <v>0</v>
      </c>
      <c r="M186" s="78"/>
      <c r="N186" s="54" t="str">
        <f>IF(OR(F186="",G186=""),"",IFERROR(F186*VLOOKUP(G186,Setup!$A$38:$E$52,5,FALSE),""))</f>
        <v/>
      </c>
      <c r="O186" s="54" t="str">
        <f>IF(N186="","",IFERROR(N186/VLOOKUP("EUR",Setup!$A$38:$E$52,5,FALSE),""))</f>
        <v/>
      </c>
      <c r="P186" s="54" t="str">
        <f>IF(N186="","",IFERROR(N186/VLOOKUP("USD",Setup!$A$38:$E$52,5,FALSE),""))</f>
        <v/>
      </c>
      <c r="Q186" s="54" t="str">
        <f>IF(OR(J186="",K186=""),"",IFERROR(J186*VLOOKUP(K186,Setup!$A$38:$E$52,5,FALSE),""))</f>
        <v/>
      </c>
      <c r="R186" s="54" t="str">
        <f>IF(Q186="","",IFERROR(Q186/VLOOKUP("EUR",Setup!$A$38:$E$52,5,FALSE),""))</f>
        <v/>
      </c>
      <c r="S186" s="54" t="str">
        <f>IF(Q186="","",IFERROR(Q186/VLOOKUP("USD",Setup!$A$38:$E$52,5,FALSE),""))</f>
        <v/>
      </c>
    </row>
    <row r="187" ht="24.0" customHeight="1">
      <c r="A187" s="78"/>
      <c r="B187" s="78"/>
      <c r="C187" s="97" t="str">
        <f t="array" ref="C187">IF(B187="","",IFERROR(INDEX(Applications!$C$6:$C$205,MATCH(B187,Applications!$A$6:$A$205,0)),""))</f>
        <v/>
      </c>
      <c r="D187" s="99"/>
      <c r="E187" s="99"/>
      <c r="F187" s="104"/>
      <c r="G187" s="99"/>
      <c r="H187" s="78"/>
      <c r="I187" s="65"/>
      <c r="J187" s="104"/>
      <c r="K187" s="99"/>
      <c r="L187" s="110" t="b">
        <v>0</v>
      </c>
      <c r="M187" s="78"/>
      <c r="N187" s="54" t="str">
        <f>IF(OR(F187="",G187=""),"",IFERROR(F187*VLOOKUP(G187,Setup!$A$38:$E$52,5,FALSE),""))</f>
        <v/>
      </c>
      <c r="O187" s="54" t="str">
        <f>IF(N187="","",IFERROR(N187/VLOOKUP("EUR",Setup!$A$38:$E$52,5,FALSE),""))</f>
        <v/>
      </c>
      <c r="P187" s="54" t="str">
        <f>IF(N187="","",IFERROR(N187/VLOOKUP("USD",Setup!$A$38:$E$52,5,FALSE),""))</f>
        <v/>
      </c>
      <c r="Q187" s="54" t="str">
        <f>IF(OR(J187="",K187=""),"",IFERROR(J187*VLOOKUP(K187,Setup!$A$38:$E$52,5,FALSE),""))</f>
        <v/>
      </c>
      <c r="R187" s="54" t="str">
        <f>IF(Q187="","",IFERROR(Q187/VLOOKUP("EUR",Setup!$A$38:$E$52,5,FALSE),""))</f>
        <v/>
      </c>
      <c r="S187" s="54" t="str">
        <f>IF(Q187="","",IFERROR(Q187/VLOOKUP("USD",Setup!$A$38:$E$52,5,FALSE),""))</f>
        <v/>
      </c>
    </row>
    <row r="188" ht="24.0" customHeight="1">
      <c r="A188" s="78"/>
      <c r="B188" s="78"/>
      <c r="C188" s="97" t="str">
        <f t="array" ref="C188">IF(B188="","",IFERROR(INDEX(Applications!$C$6:$C$205,MATCH(B188,Applications!$A$6:$A$205,0)),""))</f>
        <v/>
      </c>
      <c r="D188" s="99"/>
      <c r="E188" s="99"/>
      <c r="F188" s="104"/>
      <c r="G188" s="99"/>
      <c r="H188" s="78"/>
      <c r="I188" s="65"/>
      <c r="J188" s="104"/>
      <c r="K188" s="99"/>
      <c r="L188" s="110" t="b">
        <v>0</v>
      </c>
      <c r="M188" s="78"/>
      <c r="N188" s="54" t="str">
        <f>IF(OR(F188="",G188=""),"",IFERROR(F188*VLOOKUP(G188,Setup!$A$38:$E$52,5,FALSE),""))</f>
        <v/>
      </c>
      <c r="O188" s="54" t="str">
        <f>IF(N188="","",IFERROR(N188/VLOOKUP("EUR",Setup!$A$38:$E$52,5,FALSE),""))</f>
        <v/>
      </c>
      <c r="P188" s="54" t="str">
        <f>IF(N188="","",IFERROR(N188/VLOOKUP("USD",Setup!$A$38:$E$52,5,FALSE),""))</f>
        <v/>
      </c>
      <c r="Q188" s="54" t="str">
        <f>IF(OR(J188="",K188=""),"",IFERROR(J188*VLOOKUP(K188,Setup!$A$38:$E$52,5,FALSE),""))</f>
        <v/>
      </c>
      <c r="R188" s="54" t="str">
        <f>IF(Q188="","",IFERROR(Q188/VLOOKUP("EUR",Setup!$A$38:$E$52,5,FALSE),""))</f>
        <v/>
      </c>
      <c r="S188" s="54" t="str">
        <f>IF(Q188="","",IFERROR(Q188/VLOOKUP("USD",Setup!$A$38:$E$52,5,FALSE),""))</f>
        <v/>
      </c>
    </row>
    <row r="189" ht="24.0" customHeight="1">
      <c r="A189" s="78"/>
      <c r="B189" s="78"/>
      <c r="C189" s="97" t="str">
        <f t="array" ref="C189">IF(B189="","",IFERROR(INDEX(Applications!$C$6:$C$205,MATCH(B189,Applications!$A$6:$A$205,0)),""))</f>
        <v/>
      </c>
      <c r="D189" s="99"/>
      <c r="E189" s="99"/>
      <c r="F189" s="104"/>
      <c r="G189" s="99"/>
      <c r="H189" s="78"/>
      <c r="I189" s="65"/>
      <c r="J189" s="104"/>
      <c r="K189" s="99"/>
      <c r="L189" s="110" t="b">
        <v>0</v>
      </c>
      <c r="M189" s="78"/>
      <c r="N189" s="54" t="str">
        <f>IF(OR(F189="",G189=""),"",IFERROR(F189*VLOOKUP(G189,Setup!$A$38:$E$52,5,FALSE),""))</f>
        <v/>
      </c>
      <c r="O189" s="54" t="str">
        <f>IF(N189="","",IFERROR(N189/VLOOKUP("EUR",Setup!$A$38:$E$52,5,FALSE),""))</f>
        <v/>
      </c>
      <c r="P189" s="54" t="str">
        <f>IF(N189="","",IFERROR(N189/VLOOKUP("USD",Setup!$A$38:$E$52,5,FALSE),""))</f>
        <v/>
      </c>
      <c r="Q189" s="54" t="str">
        <f>IF(OR(J189="",K189=""),"",IFERROR(J189*VLOOKUP(K189,Setup!$A$38:$E$52,5,FALSE),""))</f>
        <v/>
      </c>
      <c r="R189" s="54" t="str">
        <f>IF(Q189="","",IFERROR(Q189/VLOOKUP("EUR",Setup!$A$38:$E$52,5,FALSE),""))</f>
        <v/>
      </c>
      <c r="S189" s="54" t="str">
        <f>IF(Q189="","",IFERROR(Q189/VLOOKUP("USD",Setup!$A$38:$E$52,5,FALSE),""))</f>
        <v/>
      </c>
    </row>
    <row r="190" ht="24.0" customHeight="1">
      <c r="A190" s="78"/>
      <c r="B190" s="78"/>
      <c r="C190" s="97" t="str">
        <f t="array" ref="C190">IF(B190="","",IFERROR(INDEX(Applications!$C$6:$C$205,MATCH(B190,Applications!$A$6:$A$205,0)),""))</f>
        <v/>
      </c>
      <c r="D190" s="99"/>
      <c r="E190" s="99"/>
      <c r="F190" s="104"/>
      <c r="G190" s="99"/>
      <c r="H190" s="78"/>
      <c r="I190" s="65"/>
      <c r="J190" s="104"/>
      <c r="K190" s="99"/>
      <c r="L190" s="110" t="b">
        <v>0</v>
      </c>
      <c r="M190" s="78"/>
      <c r="N190" s="54" t="str">
        <f>IF(OR(F190="",G190=""),"",IFERROR(F190*VLOOKUP(G190,Setup!$A$38:$E$52,5,FALSE),""))</f>
        <v/>
      </c>
      <c r="O190" s="54" t="str">
        <f>IF(N190="","",IFERROR(N190/VLOOKUP("EUR",Setup!$A$38:$E$52,5,FALSE),""))</f>
        <v/>
      </c>
      <c r="P190" s="54" t="str">
        <f>IF(N190="","",IFERROR(N190/VLOOKUP("USD",Setup!$A$38:$E$52,5,FALSE),""))</f>
        <v/>
      </c>
      <c r="Q190" s="54" t="str">
        <f>IF(OR(J190="",K190=""),"",IFERROR(J190*VLOOKUP(K190,Setup!$A$38:$E$52,5,FALSE),""))</f>
        <v/>
      </c>
      <c r="R190" s="54" t="str">
        <f>IF(Q190="","",IFERROR(Q190/VLOOKUP("EUR",Setup!$A$38:$E$52,5,FALSE),""))</f>
        <v/>
      </c>
      <c r="S190" s="54" t="str">
        <f>IF(Q190="","",IFERROR(Q190/VLOOKUP("USD",Setup!$A$38:$E$52,5,FALSE),""))</f>
        <v/>
      </c>
    </row>
    <row r="191" ht="24.0" customHeight="1">
      <c r="A191" s="78"/>
      <c r="B191" s="78"/>
      <c r="C191" s="97" t="str">
        <f t="array" ref="C191">IF(B191="","",IFERROR(INDEX(Applications!$C$6:$C$205,MATCH(B191,Applications!$A$6:$A$205,0)),""))</f>
        <v/>
      </c>
      <c r="D191" s="99"/>
      <c r="E191" s="99"/>
      <c r="F191" s="104"/>
      <c r="G191" s="99"/>
      <c r="H191" s="78"/>
      <c r="I191" s="65"/>
      <c r="J191" s="104"/>
      <c r="K191" s="99"/>
      <c r="L191" s="110" t="b">
        <v>0</v>
      </c>
      <c r="M191" s="78"/>
      <c r="N191" s="54" t="str">
        <f>IF(OR(F191="",G191=""),"",IFERROR(F191*VLOOKUP(G191,Setup!$A$38:$E$52,5,FALSE),""))</f>
        <v/>
      </c>
      <c r="O191" s="54" t="str">
        <f>IF(N191="","",IFERROR(N191/VLOOKUP("EUR",Setup!$A$38:$E$52,5,FALSE),""))</f>
        <v/>
      </c>
      <c r="P191" s="54" t="str">
        <f>IF(N191="","",IFERROR(N191/VLOOKUP("USD",Setup!$A$38:$E$52,5,FALSE),""))</f>
        <v/>
      </c>
      <c r="Q191" s="54" t="str">
        <f>IF(OR(J191="",K191=""),"",IFERROR(J191*VLOOKUP(K191,Setup!$A$38:$E$52,5,FALSE),""))</f>
        <v/>
      </c>
      <c r="R191" s="54" t="str">
        <f>IF(Q191="","",IFERROR(Q191/VLOOKUP("EUR",Setup!$A$38:$E$52,5,FALSE),""))</f>
        <v/>
      </c>
      <c r="S191" s="54" t="str">
        <f>IF(Q191="","",IFERROR(Q191/VLOOKUP("USD",Setup!$A$38:$E$52,5,FALSE),""))</f>
        <v/>
      </c>
    </row>
    <row r="192" ht="24.0" customHeight="1">
      <c r="A192" s="78"/>
      <c r="B192" s="78"/>
      <c r="C192" s="97" t="str">
        <f t="array" ref="C192">IF(B192="","",IFERROR(INDEX(Applications!$C$6:$C$205,MATCH(B192,Applications!$A$6:$A$205,0)),""))</f>
        <v/>
      </c>
      <c r="D192" s="99"/>
      <c r="E192" s="99"/>
      <c r="F192" s="104"/>
      <c r="G192" s="99"/>
      <c r="H192" s="78"/>
      <c r="I192" s="65"/>
      <c r="J192" s="104"/>
      <c r="K192" s="99"/>
      <c r="L192" s="110" t="b">
        <v>0</v>
      </c>
      <c r="M192" s="78"/>
      <c r="N192" s="54" t="str">
        <f>IF(OR(F192="",G192=""),"",IFERROR(F192*VLOOKUP(G192,Setup!$A$38:$E$52,5,FALSE),""))</f>
        <v/>
      </c>
      <c r="O192" s="54" t="str">
        <f>IF(N192="","",IFERROR(N192/VLOOKUP("EUR",Setup!$A$38:$E$52,5,FALSE),""))</f>
        <v/>
      </c>
      <c r="P192" s="54" t="str">
        <f>IF(N192="","",IFERROR(N192/VLOOKUP("USD",Setup!$A$38:$E$52,5,FALSE),""))</f>
        <v/>
      </c>
      <c r="Q192" s="54" t="str">
        <f>IF(OR(J192="",K192=""),"",IFERROR(J192*VLOOKUP(K192,Setup!$A$38:$E$52,5,FALSE),""))</f>
        <v/>
      </c>
      <c r="R192" s="54" t="str">
        <f>IF(Q192="","",IFERROR(Q192/VLOOKUP("EUR",Setup!$A$38:$E$52,5,FALSE),""))</f>
        <v/>
      </c>
      <c r="S192" s="54" t="str">
        <f>IF(Q192="","",IFERROR(Q192/VLOOKUP("USD",Setup!$A$38:$E$52,5,FALSE),""))</f>
        <v/>
      </c>
    </row>
    <row r="193" ht="24.0" customHeight="1">
      <c r="A193" s="78"/>
      <c r="B193" s="78"/>
      <c r="C193" s="97" t="str">
        <f t="array" ref="C193">IF(B193="","",IFERROR(INDEX(Applications!$C$6:$C$205,MATCH(B193,Applications!$A$6:$A$205,0)),""))</f>
        <v/>
      </c>
      <c r="D193" s="99"/>
      <c r="E193" s="99"/>
      <c r="F193" s="104"/>
      <c r="G193" s="99"/>
      <c r="H193" s="78"/>
      <c r="I193" s="65"/>
      <c r="J193" s="104"/>
      <c r="K193" s="99"/>
      <c r="L193" s="110" t="b">
        <v>0</v>
      </c>
      <c r="M193" s="78"/>
      <c r="N193" s="54" t="str">
        <f>IF(OR(F193="",G193=""),"",IFERROR(F193*VLOOKUP(G193,Setup!$A$38:$E$52,5,FALSE),""))</f>
        <v/>
      </c>
      <c r="O193" s="54" t="str">
        <f>IF(N193="","",IFERROR(N193/VLOOKUP("EUR",Setup!$A$38:$E$52,5,FALSE),""))</f>
        <v/>
      </c>
      <c r="P193" s="54" t="str">
        <f>IF(N193="","",IFERROR(N193/VLOOKUP("USD",Setup!$A$38:$E$52,5,FALSE),""))</f>
        <v/>
      </c>
      <c r="Q193" s="54" t="str">
        <f>IF(OR(J193="",K193=""),"",IFERROR(J193*VLOOKUP(K193,Setup!$A$38:$E$52,5,FALSE),""))</f>
        <v/>
      </c>
      <c r="R193" s="54" t="str">
        <f>IF(Q193="","",IFERROR(Q193/VLOOKUP("EUR",Setup!$A$38:$E$52,5,FALSE),""))</f>
        <v/>
      </c>
      <c r="S193" s="54" t="str">
        <f>IF(Q193="","",IFERROR(Q193/VLOOKUP("USD",Setup!$A$38:$E$52,5,FALSE),""))</f>
        <v/>
      </c>
    </row>
    <row r="194" ht="24.0" customHeight="1">
      <c r="A194" s="78"/>
      <c r="B194" s="78"/>
      <c r="C194" s="97" t="str">
        <f t="array" ref="C194">IF(B194="","",IFERROR(INDEX(Applications!$C$6:$C$205,MATCH(B194,Applications!$A$6:$A$205,0)),""))</f>
        <v/>
      </c>
      <c r="D194" s="99"/>
      <c r="E194" s="99"/>
      <c r="F194" s="104"/>
      <c r="G194" s="99"/>
      <c r="H194" s="78"/>
      <c r="I194" s="65"/>
      <c r="J194" s="104"/>
      <c r="K194" s="99"/>
      <c r="L194" s="110" t="b">
        <v>0</v>
      </c>
      <c r="M194" s="78"/>
      <c r="N194" s="54" t="str">
        <f>IF(OR(F194="",G194=""),"",IFERROR(F194*VLOOKUP(G194,Setup!$A$38:$E$52,5,FALSE),""))</f>
        <v/>
      </c>
      <c r="O194" s="54" t="str">
        <f>IF(N194="","",IFERROR(N194/VLOOKUP("EUR",Setup!$A$38:$E$52,5,FALSE),""))</f>
        <v/>
      </c>
      <c r="P194" s="54" t="str">
        <f>IF(N194="","",IFERROR(N194/VLOOKUP("USD",Setup!$A$38:$E$52,5,FALSE),""))</f>
        <v/>
      </c>
      <c r="Q194" s="54" t="str">
        <f>IF(OR(J194="",K194=""),"",IFERROR(J194*VLOOKUP(K194,Setup!$A$38:$E$52,5,FALSE),""))</f>
        <v/>
      </c>
      <c r="R194" s="54" t="str">
        <f>IF(Q194="","",IFERROR(Q194/VLOOKUP("EUR",Setup!$A$38:$E$52,5,FALSE),""))</f>
        <v/>
      </c>
      <c r="S194" s="54" t="str">
        <f>IF(Q194="","",IFERROR(Q194/VLOOKUP("USD",Setup!$A$38:$E$52,5,FALSE),""))</f>
        <v/>
      </c>
    </row>
    <row r="195" ht="24.0" customHeight="1">
      <c r="A195" s="78"/>
      <c r="B195" s="78"/>
      <c r="C195" s="97" t="str">
        <f t="array" ref="C195">IF(B195="","",IFERROR(INDEX(Applications!$C$6:$C$205,MATCH(B195,Applications!$A$6:$A$205,0)),""))</f>
        <v/>
      </c>
      <c r="D195" s="99"/>
      <c r="E195" s="99"/>
      <c r="F195" s="104"/>
      <c r="G195" s="99"/>
      <c r="H195" s="78"/>
      <c r="I195" s="65"/>
      <c r="J195" s="104"/>
      <c r="K195" s="99"/>
      <c r="L195" s="110" t="b">
        <v>0</v>
      </c>
      <c r="M195" s="78"/>
      <c r="N195" s="54" t="str">
        <f>IF(OR(F195="",G195=""),"",IFERROR(F195*VLOOKUP(G195,Setup!$A$38:$E$52,5,FALSE),""))</f>
        <v/>
      </c>
      <c r="O195" s="54" t="str">
        <f>IF(N195="","",IFERROR(N195/VLOOKUP("EUR",Setup!$A$38:$E$52,5,FALSE),""))</f>
        <v/>
      </c>
      <c r="P195" s="54" t="str">
        <f>IF(N195="","",IFERROR(N195/VLOOKUP("USD",Setup!$A$38:$E$52,5,FALSE),""))</f>
        <v/>
      </c>
      <c r="Q195" s="54" t="str">
        <f>IF(OR(J195="",K195=""),"",IFERROR(J195*VLOOKUP(K195,Setup!$A$38:$E$52,5,FALSE),""))</f>
        <v/>
      </c>
      <c r="R195" s="54" t="str">
        <f>IF(Q195="","",IFERROR(Q195/VLOOKUP("EUR",Setup!$A$38:$E$52,5,FALSE),""))</f>
        <v/>
      </c>
      <c r="S195" s="54" t="str">
        <f>IF(Q195="","",IFERROR(Q195/VLOOKUP("USD",Setup!$A$38:$E$52,5,FALSE),""))</f>
        <v/>
      </c>
    </row>
    <row r="196" ht="24.0" customHeight="1">
      <c r="A196" s="78"/>
      <c r="B196" s="78"/>
      <c r="C196" s="97" t="str">
        <f t="array" ref="C196">IF(B196="","",IFERROR(INDEX(Applications!$C$6:$C$205,MATCH(B196,Applications!$A$6:$A$205,0)),""))</f>
        <v/>
      </c>
      <c r="D196" s="99"/>
      <c r="E196" s="99"/>
      <c r="F196" s="104"/>
      <c r="G196" s="99"/>
      <c r="H196" s="78"/>
      <c r="I196" s="65"/>
      <c r="J196" s="104"/>
      <c r="K196" s="99"/>
      <c r="L196" s="110" t="b">
        <v>0</v>
      </c>
      <c r="M196" s="78"/>
      <c r="N196" s="54" t="str">
        <f>IF(OR(F196="",G196=""),"",IFERROR(F196*VLOOKUP(G196,Setup!$A$38:$E$52,5,FALSE),""))</f>
        <v/>
      </c>
      <c r="O196" s="54" t="str">
        <f>IF(N196="","",IFERROR(N196/VLOOKUP("EUR",Setup!$A$38:$E$52,5,FALSE),""))</f>
        <v/>
      </c>
      <c r="P196" s="54" t="str">
        <f>IF(N196="","",IFERROR(N196/VLOOKUP("USD",Setup!$A$38:$E$52,5,FALSE),""))</f>
        <v/>
      </c>
      <c r="Q196" s="54" t="str">
        <f>IF(OR(J196="",K196=""),"",IFERROR(J196*VLOOKUP(K196,Setup!$A$38:$E$52,5,FALSE),""))</f>
        <v/>
      </c>
      <c r="R196" s="54" t="str">
        <f>IF(Q196="","",IFERROR(Q196/VLOOKUP("EUR",Setup!$A$38:$E$52,5,FALSE),""))</f>
        <v/>
      </c>
      <c r="S196" s="54" t="str">
        <f>IF(Q196="","",IFERROR(Q196/VLOOKUP("USD",Setup!$A$38:$E$52,5,FALSE),""))</f>
        <v/>
      </c>
    </row>
    <row r="197" ht="24.0" customHeight="1">
      <c r="A197" s="78"/>
      <c r="B197" s="78"/>
      <c r="C197" s="97" t="str">
        <f t="array" ref="C197">IF(B197="","",IFERROR(INDEX(Applications!$C$6:$C$205,MATCH(B197,Applications!$A$6:$A$205,0)),""))</f>
        <v/>
      </c>
      <c r="D197" s="99"/>
      <c r="E197" s="99"/>
      <c r="F197" s="104"/>
      <c r="G197" s="99"/>
      <c r="H197" s="78"/>
      <c r="I197" s="65"/>
      <c r="J197" s="104"/>
      <c r="K197" s="99"/>
      <c r="L197" s="110" t="b">
        <v>0</v>
      </c>
      <c r="M197" s="78"/>
      <c r="N197" s="54" t="str">
        <f>IF(OR(F197="",G197=""),"",IFERROR(F197*VLOOKUP(G197,Setup!$A$38:$E$52,5,FALSE),""))</f>
        <v/>
      </c>
      <c r="O197" s="54" t="str">
        <f>IF(N197="","",IFERROR(N197/VLOOKUP("EUR",Setup!$A$38:$E$52,5,FALSE),""))</f>
        <v/>
      </c>
      <c r="P197" s="54" t="str">
        <f>IF(N197="","",IFERROR(N197/VLOOKUP("USD",Setup!$A$38:$E$52,5,FALSE),""))</f>
        <v/>
      </c>
      <c r="Q197" s="54" t="str">
        <f>IF(OR(J197="",K197=""),"",IFERROR(J197*VLOOKUP(K197,Setup!$A$38:$E$52,5,FALSE),""))</f>
        <v/>
      </c>
      <c r="R197" s="54" t="str">
        <f>IF(Q197="","",IFERROR(Q197/VLOOKUP("EUR",Setup!$A$38:$E$52,5,FALSE),""))</f>
        <v/>
      </c>
      <c r="S197" s="54" t="str">
        <f>IF(Q197="","",IFERROR(Q197/VLOOKUP("USD",Setup!$A$38:$E$52,5,FALSE),""))</f>
        <v/>
      </c>
    </row>
    <row r="198" ht="24.0" customHeight="1">
      <c r="A198" s="78"/>
      <c r="B198" s="78"/>
      <c r="C198" s="97" t="str">
        <f t="array" ref="C198">IF(B198="","",IFERROR(INDEX(Applications!$C$6:$C$205,MATCH(B198,Applications!$A$6:$A$205,0)),""))</f>
        <v/>
      </c>
      <c r="D198" s="99"/>
      <c r="E198" s="99"/>
      <c r="F198" s="104"/>
      <c r="G198" s="99"/>
      <c r="H198" s="78"/>
      <c r="I198" s="65"/>
      <c r="J198" s="104"/>
      <c r="K198" s="99"/>
      <c r="L198" s="110" t="b">
        <v>0</v>
      </c>
      <c r="M198" s="78"/>
      <c r="N198" s="54" t="str">
        <f>IF(OR(F198="",G198=""),"",IFERROR(F198*VLOOKUP(G198,Setup!$A$38:$E$52,5,FALSE),""))</f>
        <v/>
      </c>
      <c r="O198" s="54" t="str">
        <f>IF(N198="","",IFERROR(N198/VLOOKUP("EUR",Setup!$A$38:$E$52,5,FALSE),""))</f>
        <v/>
      </c>
      <c r="P198" s="54" t="str">
        <f>IF(N198="","",IFERROR(N198/VLOOKUP("USD",Setup!$A$38:$E$52,5,FALSE),""))</f>
        <v/>
      </c>
      <c r="Q198" s="54" t="str">
        <f>IF(OR(J198="",K198=""),"",IFERROR(J198*VLOOKUP(K198,Setup!$A$38:$E$52,5,FALSE),""))</f>
        <v/>
      </c>
      <c r="R198" s="54" t="str">
        <f>IF(Q198="","",IFERROR(Q198/VLOOKUP("EUR",Setup!$A$38:$E$52,5,FALSE),""))</f>
        <v/>
      </c>
      <c r="S198" s="54" t="str">
        <f>IF(Q198="","",IFERROR(Q198/VLOOKUP("USD",Setup!$A$38:$E$52,5,FALSE),""))</f>
        <v/>
      </c>
    </row>
    <row r="199" ht="24.0" customHeight="1">
      <c r="A199" s="78"/>
      <c r="B199" s="78"/>
      <c r="C199" s="97" t="str">
        <f t="array" ref="C199">IF(B199="","",IFERROR(INDEX(Applications!$C$6:$C$205,MATCH(B199,Applications!$A$6:$A$205,0)),""))</f>
        <v/>
      </c>
      <c r="D199" s="99"/>
      <c r="E199" s="99"/>
      <c r="F199" s="104"/>
      <c r="G199" s="99"/>
      <c r="H199" s="78"/>
      <c r="I199" s="65"/>
      <c r="J199" s="104"/>
      <c r="K199" s="99"/>
      <c r="L199" s="110" t="b">
        <v>0</v>
      </c>
      <c r="M199" s="78"/>
      <c r="N199" s="54" t="str">
        <f>IF(OR(F199="",G199=""),"",IFERROR(F199*VLOOKUP(G199,Setup!$A$38:$E$52,5,FALSE),""))</f>
        <v/>
      </c>
      <c r="O199" s="54" t="str">
        <f>IF(N199="","",IFERROR(N199/VLOOKUP("EUR",Setup!$A$38:$E$52,5,FALSE),""))</f>
        <v/>
      </c>
      <c r="P199" s="54" t="str">
        <f>IF(N199="","",IFERROR(N199/VLOOKUP("USD",Setup!$A$38:$E$52,5,FALSE),""))</f>
        <v/>
      </c>
      <c r="Q199" s="54" t="str">
        <f>IF(OR(J199="",K199=""),"",IFERROR(J199*VLOOKUP(K199,Setup!$A$38:$E$52,5,FALSE),""))</f>
        <v/>
      </c>
      <c r="R199" s="54" t="str">
        <f>IF(Q199="","",IFERROR(Q199/VLOOKUP("EUR",Setup!$A$38:$E$52,5,FALSE),""))</f>
        <v/>
      </c>
      <c r="S199" s="54" t="str">
        <f>IF(Q199="","",IFERROR(Q199/VLOOKUP("USD",Setup!$A$38:$E$52,5,FALSE),""))</f>
        <v/>
      </c>
    </row>
    <row r="200" ht="24.0" customHeight="1">
      <c r="A200" s="78"/>
      <c r="B200" s="78"/>
      <c r="C200" s="97" t="str">
        <f t="array" ref="C200">IF(B200="","",IFERROR(INDEX(Applications!$C$6:$C$205,MATCH(B200,Applications!$A$6:$A$205,0)),""))</f>
        <v/>
      </c>
      <c r="D200" s="99"/>
      <c r="E200" s="99"/>
      <c r="F200" s="104"/>
      <c r="G200" s="99"/>
      <c r="H200" s="78"/>
      <c r="I200" s="65"/>
      <c r="J200" s="104"/>
      <c r="K200" s="99"/>
      <c r="L200" s="110" t="b">
        <v>0</v>
      </c>
      <c r="M200" s="78"/>
      <c r="N200" s="54" t="str">
        <f>IF(OR(F200="",G200=""),"",IFERROR(F200*VLOOKUP(G200,Setup!$A$38:$E$52,5,FALSE),""))</f>
        <v/>
      </c>
      <c r="O200" s="54" t="str">
        <f>IF(N200="","",IFERROR(N200/VLOOKUP("EUR",Setup!$A$38:$E$52,5,FALSE),""))</f>
        <v/>
      </c>
      <c r="P200" s="54" t="str">
        <f>IF(N200="","",IFERROR(N200/VLOOKUP("USD",Setup!$A$38:$E$52,5,FALSE),""))</f>
        <v/>
      </c>
      <c r="Q200" s="54" t="str">
        <f>IF(OR(J200="",K200=""),"",IFERROR(J200*VLOOKUP(K200,Setup!$A$38:$E$52,5,FALSE),""))</f>
        <v/>
      </c>
      <c r="R200" s="54" t="str">
        <f>IF(Q200="","",IFERROR(Q200/VLOOKUP("EUR",Setup!$A$38:$E$52,5,FALSE),""))</f>
        <v/>
      </c>
      <c r="S200" s="54" t="str">
        <f>IF(Q200="","",IFERROR(Q200/VLOOKUP("USD",Setup!$A$38:$E$52,5,FALSE),""))</f>
        <v/>
      </c>
    </row>
    <row r="201" ht="24.0" customHeight="1">
      <c r="A201" s="78"/>
      <c r="B201" s="78"/>
      <c r="C201" s="97" t="str">
        <f t="array" ref="C201">IF(B201="","",IFERROR(INDEX(Applications!$C$6:$C$205,MATCH(B201,Applications!$A$6:$A$205,0)),""))</f>
        <v/>
      </c>
      <c r="D201" s="99"/>
      <c r="E201" s="99"/>
      <c r="F201" s="104"/>
      <c r="G201" s="99"/>
      <c r="H201" s="78"/>
      <c r="I201" s="65"/>
      <c r="J201" s="104"/>
      <c r="K201" s="99"/>
      <c r="L201" s="110" t="b">
        <v>0</v>
      </c>
      <c r="M201" s="78"/>
      <c r="N201" s="54" t="str">
        <f>IF(OR(F201="",G201=""),"",IFERROR(F201*VLOOKUP(G201,Setup!$A$38:$E$52,5,FALSE),""))</f>
        <v/>
      </c>
      <c r="O201" s="54" t="str">
        <f>IF(N201="","",IFERROR(N201/VLOOKUP("EUR",Setup!$A$38:$E$52,5,FALSE),""))</f>
        <v/>
      </c>
      <c r="P201" s="54" t="str">
        <f>IF(N201="","",IFERROR(N201/VLOOKUP("USD",Setup!$A$38:$E$52,5,FALSE),""))</f>
        <v/>
      </c>
      <c r="Q201" s="54" t="str">
        <f>IF(OR(J201="",K201=""),"",IFERROR(J201*VLOOKUP(K201,Setup!$A$38:$E$52,5,FALSE),""))</f>
        <v/>
      </c>
      <c r="R201" s="54" t="str">
        <f>IF(Q201="","",IFERROR(Q201/VLOOKUP("EUR",Setup!$A$38:$E$52,5,FALSE),""))</f>
        <v/>
      </c>
      <c r="S201" s="54" t="str">
        <f>IF(Q201="","",IFERROR(Q201/VLOOKUP("USD",Setup!$A$38:$E$52,5,FALSE),""))</f>
        <v/>
      </c>
    </row>
    <row r="202" ht="24.0" customHeight="1">
      <c r="A202" s="78"/>
      <c r="B202" s="78"/>
      <c r="C202" s="97" t="str">
        <f t="array" ref="C202">IF(B202="","",IFERROR(INDEX(Applications!$C$6:$C$205,MATCH(B202,Applications!$A$6:$A$205,0)),""))</f>
        <v/>
      </c>
      <c r="D202" s="99"/>
      <c r="E202" s="99"/>
      <c r="F202" s="104"/>
      <c r="G202" s="99"/>
      <c r="H202" s="78"/>
      <c r="I202" s="65"/>
      <c r="J202" s="104"/>
      <c r="K202" s="99"/>
      <c r="L202" s="110" t="b">
        <v>0</v>
      </c>
      <c r="M202" s="78"/>
      <c r="N202" s="54" t="str">
        <f>IF(OR(F202="",G202=""),"",IFERROR(F202*VLOOKUP(G202,Setup!$A$38:$E$52,5,FALSE),""))</f>
        <v/>
      </c>
      <c r="O202" s="54" t="str">
        <f>IF(N202="","",IFERROR(N202/VLOOKUP("EUR",Setup!$A$38:$E$52,5,FALSE),""))</f>
        <v/>
      </c>
      <c r="P202" s="54" t="str">
        <f>IF(N202="","",IFERROR(N202/VLOOKUP("USD",Setup!$A$38:$E$52,5,FALSE),""))</f>
        <v/>
      </c>
      <c r="Q202" s="54" t="str">
        <f>IF(OR(J202="",K202=""),"",IFERROR(J202*VLOOKUP(K202,Setup!$A$38:$E$52,5,FALSE),""))</f>
        <v/>
      </c>
      <c r="R202" s="54" t="str">
        <f>IF(Q202="","",IFERROR(Q202/VLOOKUP("EUR",Setup!$A$38:$E$52,5,FALSE),""))</f>
        <v/>
      </c>
      <c r="S202" s="54" t="str">
        <f>IF(Q202="","",IFERROR(Q202/VLOOKUP("USD",Setup!$A$38:$E$52,5,FALSE),""))</f>
        <v/>
      </c>
    </row>
    <row r="203" ht="24.0" customHeight="1">
      <c r="A203" s="78"/>
      <c r="B203" s="78"/>
      <c r="C203" s="97" t="str">
        <f t="array" ref="C203">IF(B203="","",IFERROR(INDEX(Applications!$C$6:$C$205,MATCH(B203,Applications!$A$6:$A$205,0)),""))</f>
        <v/>
      </c>
      <c r="D203" s="99"/>
      <c r="E203" s="99"/>
      <c r="F203" s="104"/>
      <c r="G203" s="99"/>
      <c r="H203" s="78"/>
      <c r="I203" s="65"/>
      <c r="J203" s="104"/>
      <c r="K203" s="99"/>
      <c r="L203" s="110" t="b">
        <v>0</v>
      </c>
      <c r="M203" s="78"/>
      <c r="N203" s="54" t="str">
        <f>IF(OR(F203="",G203=""),"",IFERROR(F203*VLOOKUP(G203,Setup!$A$38:$E$52,5,FALSE),""))</f>
        <v/>
      </c>
      <c r="O203" s="54" t="str">
        <f>IF(N203="","",IFERROR(N203/VLOOKUP("EUR",Setup!$A$38:$E$52,5,FALSE),""))</f>
        <v/>
      </c>
      <c r="P203" s="54" t="str">
        <f>IF(N203="","",IFERROR(N203/VLOOKUP("USD",Setup!$A$38:$E$52,5,FALSE),""))</f>
        <v/>
      </c>
      <c r="Q203" s="54" t="str">
        <f>IF(OR(J203="",K203=""),"",IFERROR(J203*VLOOKUP(K203,Setup!$A$38:$E$52,5,FALSE),""))</f>
        <v/>
      </c>
      <c r="R203" s="54" t="str">
        <f>IF(Q203="","",IFERROR(Q203/VLOOKUP("EUR",Setup!$A$38:$E$52,5,FALSE),""))</f>
        <v/>
      </c>
      <c r="S203" s="54" t="str">
        <f>IF(Q203="","",IFERROR(Q203/VLOOKUP("USD",Setup!$A$38:$E$52,5,FALSE),""))</f>
        <v/>
      </c>
    </row>
    <row r="204" ht="24.0" customHeight="1">
      <c r="A204" s="78"/>
      <c r="B204" s="78"/>
      <c r="C204" s="97" t="str">
        <f t="array" ref="C204">IF(B204="","",IFERROR(INDEX(Applications!$C$6:$C$205,MATCH(B204,Applications!$A$6:$A$205,0)),""))</f>
        <v/>
      </c>
      <c r="D204" s="99"/>
      <c r="E204" s="99"/>
      <c r="F204" s="104"/>
      <c r="G204" s="99"/>
      <c r="H204" s="78"/>
      <c r="I204" s="65"/>
      <c r="J204" s="104"/>
      <c r="K204" s="99"/>
      <c r="L204" s="110" t="b">
        <v>0</v>
      </c>
      <c r="M204" s="78"/>
      <c r="N204" s="54" t="str">
        <f>IF(OR(F204="",G204=""),"",IFERROR(F204*VLOOKUP(G204,Setup!$A$38:$E$52,5,FALSE),""))</f>
        <v/>
      </c>
      <c r="O204" s="54" t="str">
        <f>IF(N204="","",IFERROR(N204/VLOOKUP("EUR",Setup!$A$38:$E$52,5,FALSE),""))</f>
        <v/>
      </c>
      <c r="P204" s="54" t="str">
        <f>IF(N204="","",IFERROR(N204/VLOOKUP("USD",Setup!$A$38:$E$52,5,FALSE),""))</f>
        <v/>
      </c>
      <c r="Q204" s="54" t="str">
        <f>IF(OR(J204="",K204=""),"",IFERROR(J204*VLOOKUP(K204,Setup!$A$38:$E$52,5,FALSE),""))</f>
        <v/>
      </c>
      <c r="R204" s="54" t="str">
        <f>IF(Q204="","",IFERROR(Q204/VLOOKUP("EUR",Setup!$A$38:$E$52,5,FALSE),""))</f>
        <v/>
      </c>
      <c r="S204" s="54" t="str">
        <f>IF(Q204="","",IFERROR(Q204/VLOOKUP("USD",Setup!$A$38:$E$52,5,FALSE),""))</f>
        <v/>
      </c>
    </row>
    <row r="205" ht="24.0" customHeight="1">
      <c r="A205" s="78"/>
      <c r="B205" s="78"/>
      <c r="C205" s="97" t="str">
        <f t="array" ref="C205">IF(B205="","",IFERROR(INDEX(Applications!$C$6:$C$205,MATCH(B205,Applications!$A$6:$A$205,0)),""))</f>
        <v/>
      </c>
      <c r="D205" s="99"/>
      <c r="E205" s="99"/>
      <c r="F205" s="104"/>
      <c r="G205" s="99"/>
      <c r="H205" s="78"/>
      <c r="I205" s="65"/>
      <c r="J205" s="104"/>
      <c r="K205" s="99"/>
      <c r="L205" s="110" t="b">
        <v>0</v>
      </c>
      <c r="M205" s="78"/>
      <c r="N205" s="54" t="str">
        <f>IF(OR(F205="",G205=""),"",IFERROR(F205*VLOOKUP(G205,Setup!$A$38:$E$52,5,FALSE),""))</f>
        <v/>
      </c>
      <c r="O205" s="54" t="str">
        <f>IF(N205="","",IFERROR(N205/VLOOKUP("EUR",Setup!$A$38:$E$52,5,FALSE),""))</f>
        <v/>
      </c>
      <c r="P205" s="54" t="str">
        <f>IF(N205="","",IFERROR(N205/VLOOKUP("USD",Setup!$A$38:$E$52,5,FALSE),""))</f>
        <v/>
      </c>
      <c r="Q205" s="54" t="str">
        <f>IF(OR(J205="",K205=""),"",IFERROR(J205*VLOOKUP(K205,Setup!$A$38:$E$52,5,FALSE),""))</f>
        <v/>
      </c>
      <c r="R205" s="54" t="str">
        <f>IF(Q205="","",IFERROR(Q205/VLOOKUP("EUR",Setup!$A$38:$E$52,5,FALSE),""))</f>
        <v/>
      </c>
      <c r="S205" s="54" t="str">
        <f>IF(Q205="","",IFERROR(Q205/VLOOKUP("USD",Setup!$A$38:$E$52,5,FALSE),""))</f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B3"/>
  </mergeCells>
  <conditionalFormatting sqref="D6:D205">
    <cfRule type="containsText" dxfId="5" priority="1" operator="containsText" text="Submitted">
      <formula>NOT(ISERROR(SEARCH(("Submitted"),(D6))))</formula>
    </cfRule>
  </conditionalFormatting>
  <conditionalFormatting sqref="D6:D205">
    <cfRule type="containsText" dxfId="6" priority="2" operator="containsText" text="Ready">
      <formula>NOT(ISERROR(SEARCH(("Ready"),(D6))))</formula>
    </cfRule>
  </conditionalFormatting>
  <conditionalFormatting sqref="D6:D205">
    <cfRule type="containsText" dxfId="6" priority="3" operator="containsText" text="Admitted">
      <formula>NOT(ISERROR(SEARCH(("Admitted"),(D6))))</formula>
    </cfRule>
  </conditionalFormatting>
  <conditionalFormatting sqref="D6:D205">
    <cfRule type="containsText" dxfId="6" priority="4" operator="containsText" text="Awarded">
      <formula>NOT(ISERROR(SEARCH(("Awarded"),(D6))))</formula>
    </cfRule>
  </conditionalFormatting>
  <conditionalFormatting sqref="D6:D205">
    <cfRule type="containsText" dxfId="6" priority="5" operator="containsText" text="Completed">
      <formula>NOT(ISERROR(SEARCH(("Completed"),(D6))))</formula>
    </cfRule>
  </conditionalFormatting>
  <conditionalFormatting sqref="D6:D205">
    <cfRule type="containsText" dxfId="6" priority="6" operator="containsText" text="Done">
      <formula>NOT(ISERROR(SEARCH(("Done"),(D6))))</formula>
    </cfRule>
  </conditionalFormatting>
  <conditionalFormatting sqref="D6:D205">
    <cfRule type="containsText" dxfId="6" priority="7" operator="containsText" text="Final">
      <formula>NOT(ISERROR(SEARCH(("Final"),(D6))))</formula>
    </cfRule>
  </conditionalFormatting>
  <conditionalFormatting sqref="D6:D205">
    <cfRule type="containsText" dxfId="7" priority="8" operator="containsText" text="Preparing">
      <formula>NOT(ISERROR(SEARCH(("Preparing"),(D6))))</formula>
    </cfRule>
  </conditionalFormatting>
  <conditionalFormatting sqref="D6:D205">
    <cfRule type="containsText" dxfId="7" priority="9" operator="containsText" text="In Progress">
      <formula>NOT(ISERROR(SEARCH(("In Progress"),(D6))))</formula>
    </cfRule>
  </conditionalFormatting>
  <conditionalFormatting sqref="D6:D205">
    <cfRule type="containsText" dxfId="7" priority="10" operator="containsText" text="Shortlisted">
      <formula>NOT(ISERROR(SEARCH(("Shortlisted"),(D6))))</formula>
    </cfRule>
  </conditionalFormatting>
  <conditionalFormatting sqref="D6:D205">
    <cfRule type="containsText" dxfId="8" priority="11" operator="containsText" text="Researching">
      <formula>NOT(ISERROR(SEARCH(("Researching"),(D6))))</formula>
    </cfRule>
  </conditionalFormatting>
  <conditionalFormatting sqref="D6:D205">
    <cfRule type="containsText" dxfId="8" priority="12" operator="containsText" text="Exploring">
      <formula>NOT(ISERROR(SEARCH(("Exploring"),(D6))))</formula>
    </cfRule>
  </conditionalFormatting>
  <conditionalFormatting sqref="D6:D205">
    <cfRule type="containsText" dxfId="9" priority="13" operator="containsText" text="Needs Verification">
      <formula>NOT(ISERROR(SEARCH(("Needs Verification"),(D6))))</formula>
    </cfRule>
  </conditionalFormatting>
  <conditionalFormatting sqref="D6:D205">
    <cfRule type="containsText" dxfId="10" priority="14" operator="containsText" text="Overdue">
      <formula>NOT(ISERROR(SEARCH(("Overdue"),(D6))))</formula>
    </cfRule>
  </conditionalFormatting>
  <conditionalFormatting sqref="D6:D205">
    <cfRule type="containsText" dxfId="10" priority="15" operator="containsText" text="Rejected">
      <formula>NOT(ISERROR(SEARCH(("Rejected"),(D6))))</formula>
    </cfRule>
  </conditionalFormatting>
  <conditionalFormatting sqref="D6:D205">
    <cfRule type="containsText" dxfId="10" priority="16" operator="containsText" text="Blocked">
      <formula>NOT(ISERROR(SEARCH(("Blocked"),(D6))))</formula>
    </cfRule>
  </conditionalFormatting>
  <conditionalFormatting sqref="E6:E205">
    <cfRule type="containsText" dxfId="5" priority="17" operator="containsText" text="Submitted">
      <formula>NOT(ISERROR(SEARCH(("Submitted"),(E6))))</formula>
    </cfRule>
  </conditionalFormatting>
  <conditionalFormatting sqref="E6:E205">
    <cfRule type="containsText" dxfId="6" priority="18" operator="containsText" text="Ready">
      <formula>NOT(ISERROR(SEARCH(("Ready"),(E6))))</formula>
    </cfRule>
  </conditionalFormatting>
  <conditionalFormatting sqref="E6:E205">
    <cfRule type="containsText" dxfId="6" priority="19" operator="containsText" text="Admitted">
      <formula>NOT(ISERROR(SEARCH(("Admitted"),(E6))))</formula>
    </cfRule>
  </conditionalFormatting>
  <conditionalFormatting sqref="E6:E205">
    <cfRule type="containsText" dxfId="6" priority="20" operator="containsText" text="Awarded">
      <formula>NOT(ISERROR(SEARCH(("Awarded"),(E6))))</formula>
    </cfRule>
  </conditionalFormatting>
  <conditionalFormatting sqref="E6:E205">
    <cfRule type="containsText" dxfId="6" priority="21" operator="containsText" text="Completed">
      <formula>NOT(ISERROR(SEARCH(("Completed"),(E6))))</formula>
    </cfRule>
  </conditionalFormatting>
  <conditionalFormatting sqref="E6:E205">
    <cfRule type="containsText" dxfId="6" priority="22" operator="containsText" text="Done">
      <formula>NOT(ISERROR(SEARCH(("Done"),(E6))))</formula>
    </cfRule>
  </conditionalFormatting>
  <conditionalFormatting sqref="E6:E205">
    <cfRule type="containsText" dxfId="6" priority="23" operator="containsText" text="Final">
      <formula>NOT(ISERROR(SEARCH(("Final"),(E6))))</formula>
    </cfRule>
  </conditionalFormatting>
  <conditionalFormatting sqref="E6:E205">
    <cfRule type="containsText" dxfId="7" priority="24" operator="containsText" text="Preparing">
      <formula>NOT(ISERROR(SEARCH(("Preparing"),(E6))))</formula>
    </cfRule>
  </conditionalFormatting>
  <conditionalFormatting sqref="E6:E205">
    <cfRule type="containsText" dxfId="7" priority="25" operator="containsText" text="In Progress">
      <formula>NOT(ISERROR(SEARCH(("In Progress"),(E6))))</formula>
    </cfRule>
  </conditionalFormatting>
  <conditionalFormatting sqref="E6:E205">
    <cfRule type="containsText" dxfId="7" priority="26" operator="containsText" text="Shortlisted">
      <formula>NOT(ISERROR(SEARCH(("Shortlisted"),(E6))))</formula>
    </cfRule>
  </conditionalFormatting>
  <conditionalFormatting sqref="E6:E205">
    <cfRule type="containsText" dxfId="8" priority="27" operator="containsText" text="Researching">
      <formula>NOT(ISERROR(SEARCH(("Researching"),(E6))))</formula>
    </cfRule>
  </conditionalFormatting>
  <conditionalFormatting sqref="E6:E205">
    <cfRule type="containsText" dxfId="8" priority="28" operator="containsText" text="Exploring">
      <formula>NOT(ISERROR(SEARCH(("Exploring"),(E6))))</formula>
    </cfRule>
  </conditionalFormatting>
  <conditionalFormatting sqref="E6:E205">
    <cfRule type="containsText" dxfId="9" priority="29" operator="containsText" text="Needs Verification">
      <formula>NOT(ISERROR(SEARCH(("Needs Verification"),(E6))))</formula>
    </cfRule>
  </conditionalFormatting>
  <conditionalFormatting sqref="E6:E205">
    <cfRule type="containsText" dxfId="10" priority="30" operator="containsText" text="Overdue">
      <formula>NOT(ISERROR(SEARCH(("Overdue"),(E6))))</formula>
    </cfRule>
  </conditionalFormatting>
  <conditionalFormatting sqref="E6:E205">
    <cfRule type="containsText" dxfId="10" priority="31" operator="containsText" text="Rejected">
      <formula>NOT(ISERROR(SEARCH(("Rejected"),(E6))))</formula>
    </cfRule>
  </conditionalFormatting>
  <conditionalFormatting sqref="E6:E205">
    <cfRule type="containsText" dxfId="10" priority="32" operator="containsText" text="Blocked">
      <formula>NOT(ISERROR(SEARCH(("Blocked"),(E6))))</formula>
    </cfRule>
  </conditionalFormatting>
  <conditionalFormatting sqref="I6:I205">
    <cfRule type="expression" dxfId="10" priority="33">
      <formula>AND(I6&lt;&gt;"",I6&lt;TODAY())</formula>
    </cfRule>
  </conditionalFormatting>
  <conditionalFormatting sqref="I6:I205">
    <cfRule type="expression" dxfId="9" priority="34">
      <formula>AND(I6&gt;=TODAY(),I6&lt;=TODAY()+7)</formula>
    </cfRule>
  </conditionalFormatting>
  <dataValidations>
    <dataValidation type="custom" allowBlank="1" showDropDown="1" sqref="I6:I205">
      <formula1>OR(NOT(ISERROR(DATEVALUE(I6))), AND(ISNUMBER(I6), LEFT(CELL("format", I6))="D"))</formula1>
    </dataValidation>
    <dataValidation type="list" allowBlank="1" showErrorMessage="1" sqref="G6:G205 K6:K205">
      <formula1>"GHS,EUR,USD,GBP,CHF,CAD,CNY,JPY,XAF,SEK,NOK,DKK,PLN,CZK,HUF"</formula1>
    </dataValidation>
    <dataValidation type="custom" allowBlank="1" showDropDown="1" sqref="F6:F205 J6:J205 N6:S205">
      <formula1>AND(ISNUMBER(F6),(NOT(OR(NOT(ISERROR(DATEVALUE(F6))), AND(ISNUMBER(F6), LEFT(CELL("format", F6))="D")))))</formula1>
    </dataValidation>
    <dataValidation allowBlank="1" showDropDown="1" sqref="A6:C205 H6:H205 M6:M205"/>
    <dataValidation type="list" allowBlank="1" showErrorMessage="1" sqref="E6:E205">
      <formula1>"Pending,Awarded,Reserve,Rejected,Not Required"</formula1>
    </dataValidation>
    <dataValidation type="list" allowBlank="1" showErrorMessage="1" sqref="D6:D205">
      <formula1>"Pending,Admitted,Waitlisted,Rejected,Deferred,Enrolled,Withdrawn"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3" width="18.0"/>
    <col customWidth="1" min="4" max="4" width="38.0"/>
    <col customWidth="1" min="5" max="5" width="18.0"/>
    <col customWidth="1" min="6" max="6" width="18.13"/>
    <col customWidth="1" min="7" max="7" width="16.13"/>
    <col customWidth="1" min="8" max="8" width="18.0"/>
    <col customWidth="1" min="9" max="9" width="44.0"/>
    <col customWidth="1" min="10" max="26" width="8.63"/>
  </cols>
  <sheetData>
    <row r="1" ht="33.75" customHeight="1">
      <c r="A1" s="1" t="s">
        <v>403</v>
      </c>
    </row>
    <row r="2" ht="27.75" customHeight="1">
      <c r="A2" s="2" t="s">
        <v>404</v>
      </c>
    </row>
    <row r="3">
      <c r="A3" s="24" t="s">
        <v>38</v>
      </c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 ht="31.5" customHeight="1">
      <c r="A5" s="28" t="s">
        <v>405</v>
      </c>
      <c r="B5" s="28" t="s">
        <v>243</v>
      </c>
      <c r="C5" s="28" t="s">
        <v>242</v>
      </c>
      <c r="D5" s="28" t="s">
        <v>406</v>
      </c>
      <c r="E5" s="28" t="s">
        <v>407</v>
      </c>
      <c r="F5" s="28" t="s">
        <v>408</v>
      </c>
      <c r="G5" s="28" t="s">
        <v>70</v>
      </c>
      <c r="H5" s="28" t="s">
        <v>409</v>
      </c>
      <c r="I5" s="28" t="s">
        <v>85</v>
      </c>
      <c r="J5" s="30" t="s">
        <v>408</v>
      </c>
      <c r="K5" s="30" t="s">
        <v>70</v>
      </c>
      <c r="L5" s="30" t="s">
        <v>409</v>
      </c>
      <c r="M5" s="30" t="s">
        <v>85</v>
      </c>
    </row>
    <row r="6" ht="24.0" customHeight="1">
      <c r="A6" s="80" t="s">
        <v>410</v>
      </c>
      <c r="B6" s="86" t="s">
        <v>81</v>
      </c>
      <c r="C6" s="82" t="s">
        <v>248</v>
      </c>
      <c r="D6" s="82" t="s">
        <v>411</v>
      </c>
      <c r="E6" s="105">
        <v>46288.0</v>
      </c>
      <c r="F6" s="86" t="s">
        <v>412</v>
      </c>
      <c r="G6" s="86" t="s">
        <v>413</v>
      </c>
      <c r="H6" s="105"/>
      <c r="I6" s="93" t="s">
        <v>414</v>
      </c>
    </row>
    <row r="7" ht="24.0" customHeight="1">
      <c r="A7" s="78"/>
      <c r="B7" s="99"/>
      <c r="C7" s="78"/>
      <c r="D7" s="78"/>
      <c r="E7" s="107"/>
      <c r="F7" s="99"/>
      <c r="G7" s="99"/>
      <c r="H7" s="107"/>
      <c r="I7" s="78"/>
    </row>
    <row r="8" ht="24.0" customHeight="1">
      <c r="A8" s="78"/>
      <c r="B8" s="99"/>
      <c r="C8" s="78"/>
      <c r="D8" s="78"/>
      <c r="E8" s="107"/>
      <c r="F8" s="99"/>
      <c r="G8" s="99"/>
      <c r="H8" s="107"/>
      <c r="I8" s="78"/>
    </row>
    <row r="9" ht="24.0" customHeight="1">
      <c r="A9" s="78"/>
      <c r="B9" s="99"/>
      <c r="C9" s="78"/>
      <c r="D9" s="78"/>
      <c r="E9" s="107"/>
      <c r="F9" s="99"/>
      <c r="G9" s="99"/>
      <c r="H9" s="107"/>
      <c r="I9" s="78"/>
    </row>
    <row r="10" ht="24.0" customHeight="1">
      <c r="A10" s="78"/>
      <c r="B10" s="99"/>
      <c r="C10" s="78"/>
      <c r="D10" s="78"/>
      <c r="E10" s="107"/>
      <c r="F10" s="99"/>
      <c r="G10" s="99"/>
      <c r="H10" s="107"/>
      <c r="I10" s="78"/>
    </row>
    <row r="11" ht="24.0" customHeight="1">
      <c r="A11" s="78"/>
      <c r="B11" s="99"/>
      <c r="C11" s="78"/>
      <c r="D11" s="78"/>
      <c r="E11" s="107"/>
      <c r="F11" s="99"/>
      <c r="G11" s="99"/>
      <c r="H11" s="107"/>
      <c r="I11" s="78"/>
    </row>
    <row r="12" ht="24.0" customHeight="1">
      <c r="A12" s="78"/>
      <c r="B12" s="99"/>
      <c r="C12" s="78"/>
      <c r="D12" s="78"/>
      <c r="E12" s="107"/>
      <c r="F12" s="99"/>
      <c r="G12" s="99"/>
      <c r="H12" s="107"/>
      <c r="I12" s="78"/>
    </row>
    <row r="13" ht="24.0" customHeight="1">
      <c r="A13" s="78"/>
      <c r="B13" s="99"/>
      <c r="C13" s="78"/>
      <c r="D13" s="78"/>
      <c r="E13" s="107"/>
      <c r="F13" s="99"/>
      <c r="G13" s="99"/>
      <c r="H13" s="107"/>
      <c r="I13" s="78"/>
    </row>
    <row r="14" ht="24.0" customHeight="1">
      <c r="A14" s="78"/>
      <c r="B14" s="99"/>
      <c r="C14" s="78"/>
      <c r="D14" s="78"/>
      <c r="E14" s="107"/>
      <c r="F14" s="99"/>
      <c r="G14" s="99"/>
      <c r="H14" s="107"/>
      <c r="I14" s="78"/>
    </row>
    <row r="15" ht="24.0" customHeight="1">
      <c r="A15" s="78"/>
      <c r="B15" s="99"/>
      <c r="C15" s="78"/>
      <c r="D15" s="78"/>
      <c r="E15" s="107"/>
      <c r="F15" s="99"/>
      <c r="G15" s="99"/>
      <c r="H15" s="107"/>
      <c r="I15" s="78"/>
    </row>
    <row r="16" ht="24.0" customHeight="1">
      <c r="A16" s="78"/>
      <c r="B16" s="99"/>
      <c r="C16" s="78"/>
      <c r="D16" s="78"/>
      <c r="E16" s="107"/>
      <c r="F16" s="99"/>
      <c r="G16" s="99"/>
      <c r="H16" s="107"/>
      <c r="I16" s="78"/>
    </row>
    <row r="17" ht="24.0" customHeight="1">
      <c r="A17" s="78"/>
      <c r="B17" s="99"/>
      <c r="C17" s="78"/>
      <c r="D17" s="78"/>
      <c r="E17" s="107"/>
      <c r="F17" s="99"/>
      <c r="G17" s="99"/>
      <c r="H17" s="107"/>
      <c r="I17" s="78"/>
    </row>
    <row r="18" ht="24.0" customHeight="1">
      <c r="A18" s="78"/>
      <c r="B18" s="99"/>
      <c r="C18" s="78"/>
      <c r="D18" s="78"/>
      <c r="E18" s="107"/>
      <c r="F18" s="99"/>
      <c r="G18" s="99"/>
      <c r="H18" s="107"/>
      <c r="I18" s="78"/>
    </row>
    <row r="19" ht="24.0" customHeight="1">
      <c r="A19" s="78"/>
      <c r="B19" s="99"/>
      <c r="C19" s="78"/>
      <c r="D19" s="78"/>
      <c r="E19" s="107"/>
      <c r="F19" s="99"/>
      <c r="G19" s="99"/>
      <c r="H19" s="107"/>
      <c r="I19" s="78"/>
    </row>
    <row r="20" ht="24.0" customHeight="1">
      <c r="A20" s="78"/>
      <c r="B20" s="99"/>
      <c r="C20" s="78"/>
      <c r="D20" s="78"/>
      <c r="E20" s="107"/>
      <c r="F20" s="99"/>
      <c r="G20" s="99"/>
      <c r="H20" s="107"/>
      <c r="I20" s="78"/>
    </row>
    <row r="21" ht="24.0" customHeight="1">
      <c r="A21" s="78"/>
      <c r="B21" s="99"/>
      <c r="C21" s="78"/>
      <c r="D21" s="78"/>
      <c r="E21" s="107"/>
      <c r="F21" s="99"/>
      <c r="G21" s="99"/>
      <c r="H21" s="107"/>
      <c r="I21" s="78"/>
    </row>
    <row r="22" ht="24.0" customHeight="1">
      <c r="A22" s="78"/>
      <c r="B22" s="99"/>
      <c r="C22" s="78"/>
      <c r="D22" s="78"/>
      <c r="E22" s="107"/>
      <c r="F22" s="99"/>
      <c r="G22" s="99"/>
      <c r="H22" s="107"/>
      <c r="I22" s="78"/>
    </row>
    <row r="23" ht="24.0" customHeight="1">
      <c r="A23" s="78"/>
      <c r="B23" s="99"/>
      <c r="C23" s="78"/>
      <c r="D23" s="78"/>
      <c r="E23" s="107"/>
      <c r="F23" s="99"/>
      <c r="G23" s="99"/>
      <c r="H23" s="107"/>
      <c r="I23" s="78"/>
    </row>
    <row r="24" ht="24.0" customHeight="1">
      <c r="A24" s="78"/>
      <c r="B24" s="99"/>
      <c r="C24" s="78"/>
      <c r="D24" s="78"/>
      <c r="E24" s="107"/>
      <c r="F24" s="99"/>
      <c r="G24" s="99"/>
      <c r="H24" s="107"/>
      <c r="I24" s="78"/>
    </row>
    <row r="25" ht="24.0" customHeight="1">
      <c r="A25" s="78"/>
      <c r="B25" s="99"/>
      <c r="C25" s="78"/>
      <c r="D25" s="78"/>
      <c r="E25" s="107"/>
      <c r="F25" s="99"/>
      <c r="G25" s="99"/>
      <c r="H25" s="107"/>
      <c r="I25" s="78"/>
    </row>
    <row r="26" ht="24.0" customHeight="1">
      <c r="A26" s="78"/>
      <c r="B26" s="99"/>
      <c r="C26" s="78"/>
      <c r="D26" s="78"/>
      <c r="E26" s="107"/>
      <c r="F26" s="99"/>
      <c r="G26" s="99"/>
      <c r="H26" s="107"/>
      <c r="I26" s="78"/>
    </row>
    <row r="27" ht="24.0" customHeight="1">
      <c r="A27" s="78"/>
      <c r="B27" s="99"/>
      <c r="C27" s="78"/>
      <c r="D27" s="78"/>
      <c r="E27" s="107"/>
      <c r="F27" s="99"/>
      <c r="G27" s="99"/>
      <c r="H27" s="107"/>
      <c r="I27" s="78"/>
    </row>
    <row r="28" ht="24.0" customHeight="1">
      <c r="A28" s="78"/>
      <c r="B28" s="99"/>
      <c r="C28" s="78"/>
      <c r="D28" s="78"/>
      <c r="E28" s="107"/>
      <c r="F28" s="99"/>
      <c r="G28" s="99"/>
      <c r="H28" s="107"/>
      <c r="I28" s="78"/>
    </row>
    <row r="29" ht="24.0" customHeight="1">
      <c r="A29" s="78"/>
      <c r="B29" s="99"/>
      <c r="C29" s="78"/>
      <c r="D29" s="78"/>
      <c r="E29" s="107"/>
      <c r="F29" s="99"/>
      <c r="G29" s="99"/>
      <c r="H29" s="107"/>
      <c r="I29" s="78"/>
    </row>
    <row r="30" ht="24.0" customHeight="1">
      <c r="A30" s="78"/>
      <c r="B30" s="99"/>
      <c r="C30" s="78"/>
      <c r="D30" s="78"/>
      <c r="E30" s="107"/>
      <c r="F30" s="99"/>
      <c r="G30" s="99"/>
      <c r="H30" s="107"/>
      <c r="I30" s="78"/>
    </row>
    <row r="31" ht="24.0" customHeight="1">
      <c r="A31" s="78"/>
      <c r="B31" s="99"/>
      <c r="C31" s="78"/>
      <c r="D31" s="78"/>
      <c r="E31" s="107"/>
      <c r="F31" s="99"/>
      <c r="G31" s="99"/>
      <c r="H31" s="107"/>
      <c r="I31" s="78"/>
    </row>
    <row r="32" ht="24.0" customHeight="1">
      <c r="A32" s="78"/>
      <c r="B32" s="99"/>
      <c r="C32" s="78"/>
      <c r="D32" s="78"/>
      <c r="E32" s="107"/>
      <c r="F32" s="99"/>
      <c r="G32" s="99"/>
      <c r="H32" s="107"/>
      <c r="I32" s="78"/>
    </row>
    <row r="33" ht="24.0" customHeight="1">
      <c r="A33" s="78"/>
      <c r="B33" s="99"/>
      <c r="C33" s="78"/>
      <c r="D33" s="78"/>
      <c r="E33" s="107"/>
      <c r="F33" s="99"/>
      <c r="G33" s="99"/>
      <c r="H33" s="107"/>
      <c r="I33" s="78"/>
    </row>
    <row r="34" ht="24.0" customHeight="1">
      <c r="A34" s="78"/>
      <c r="B34" s="99"/>
      <c r="C34" s="78"/>
      <c r="D34" s="78"/>
      <c r="E34" s="107"/>
      <c r="F34" s="99"/>
      <c r="G34" s="99"/>
      <c r="H34" s="107"/>
      <c r="I34" s="78"/>
    </row>
    <row r="35" ht="24.0" customHeight="1">
      <c r="A35" s="78"/>
      <c r="B35" s="99"/>
      <c r="C35" s="78"/>
      <c r="D35" s="78"/>
      <c r="E35" s="107"/>
      <c r="F35" s="99"/>
      <c r="G35" s="99"/>
      <c r="H35" s="107"/>
      <c r="I35" s="78"/>
    </row>
    <row r="36" ht="24.0" customHeight="1">
      <c r="A36" s="78"/>
      <c r="B36" s="99"/>
      <c r="C36" s="78"/>
      <c r="D36" s="78"/>
      <c r="E36" s="107"/>
      <c r="F36" s="99"/>
      <c r="G36" s="99"/>
      <c r="H36" s="107"/>
      <c r="I36" s="78"/>
    </row>
    <row r="37" ht="24.0" customHeight="1">
      <c r="A37" s="78"/>
      <c r="B37" s="99"/>
      <c r="C37" s="78"/>
      <c r="D37" s="78"/>
      <c r="E37" s="107"/>
      <c r="F37" s="99"/>
      <c r="G37" s="99"/>
      <c r="H37" s="107"/>
      <c r="I37" s="78"/>
    </row>
    <row r="38" ht="24.0" customHeight="1">
      <c r="A38" s="78"/>
      <c r="B38" s="99"/>
      <c r="C38" s="78"/>
      <c r="D38" s="78"/>
      <c r="E38" s="107"/>
      <c r="F38" s="99"/>
      <c r="G38" s="99"/>
      <c r="H38" s="107"/>
      <c r="I38" s="78"/>
    </row>
    <row r="39" ht="24.0" customHeight="1">
      <c r="A39" s="78"/>
      <c r="B39" s="99"/>
      <c r="C39" s="78"/>
      <c r="D39" s="78"/>
      <c r="E39" s="107"/>
      <c r="F39" s="99"/>
      <c r="G39" s="99"/>
      <c r="H39" s="107"/>
      <c r="I39" s="78"/>
    </row>
    <row r="40" ht="24.0" customHeight="1">
      <c r="A40" s="78"/>
      <c r="B40" s="99"/>
      <c r="C40" s="78"/>
      <c r="D40" s="78"/>
      <c r="E40" s="107"/>
      <c r="F40" s="99"/>
      <c r="G40" s="99"/>
      <c r="H40" s="107"/>
      <c r="I40" s="78"/>
    </row>
    <row r="41" ht="24.0" customHeight="1">
      <c r="A41" s="78"/>
      <c r="B41" s="99"/>
      <c r="C41" s="78"/>
      <c r="D41" s="78"/>
      <c r="E41" s="107"/>
      <c r="F41" s="99"/>
      <c r="G41" s="99"/>
      <c r="H41" s="107"/>
      <c r="I41" s="78"/>
    </row>
    <row r="42" ht="24.0" customHeight="1">
      <c r="A42" s="78"/>
      <c r="B42" s="99"/>
      <c r="C42" s="78"/>
      <c r="D42" s="78"/>
      <c r="E42" s="107"/>
      <c r="F42" s="99"/>
      <c r="G42" s="99"/>
      <c r="H42" s="107"/>
      <c r="I42" s="78"/>
    </row>
    <row r="43" ht="24.0" customHeight="1">
      <c r="A43" s="78"/>
      <c r="B43" s="99"/>
      <c r="C43" s="78"/>
      <c r="D43" s="78"/>
      <c r="E43" s="107"/>
      <c r="F43" s="99"/>
      <c r="G43" s="99"/>
      <c r="H43" s="107"/>
      <c r="I43" s="78"/>
    </row>
    <row r="44" ht="24.0" customHeight="1">
      <c r="A44" s="78"/>
      <c r="B44" s="99"/>
      <c r="C44" s="78"/>
      <c r="D44" s="78"/>
      <c r="E44" s="107"/>
      <c r="F44" s="99"/>
      <c r="G44" s="99"/>
      <c r="H44" s="107"/>
      <c r="I44" s="78"/>
    </row>
    <row r="45" ht="24.0" customHeight="1">
      <c r="A45" s="78"/>
      <c r="B45" s="99"/>
      <c r="C45" s="78"/>
      <c r="D45" s="78"/>
      <c r="E45" s="107"/>
      <c r="F45" s="99"/>
      <c r="G45" s="99"/>
      <c r="H45" s="107"/>
      <c r="I45" s="78"/>
    </row>
    <row r="46" ht="24.0" customHeight="1">
      <c r="A46" s="78"/>
      <c r="B46" s="99"/>
      <c r="C46" s="78"/>
      <c r="D46" s="78"/>
      <c r="E46" s="107"/>
      <c r="F46" s="99"/>
      <c r="G46" s="99"/>
      <c r="H46" s="107"/>
      <c r="I46" s="78"/>
    </row>
    <row r="47" ht="24.0" customHeight="1">
      <c r="A47" s="78"/>
      <c r="B47" s="99"/>
      <c r="C47" s="78"/>
      <c r="D47" s="78"/>
      <c r="E47" s="107"/>
      <c r="F47" s="99"/>
      <c r="G47" s="99"/>
      <c r="H47" s="107"/>
      <c r="I47" s="78"/>
    </row>
    <row r="48" ht="24.0" customHeight="1">
      <c r="A48" s="78"/>
      <c r="B48" s="99"/>
      <c r="C48" s="78"/>
      <c r="D48" s="78"/>
      <c r="E48" s="107"/>
      <c r="F48" s="99"/>
      <c r="G48" s="99"/>
      <c r="H48" s="107"/>
      <c r="I48" s="78"/>
    </row>
    <row r="49" ht="24.0" customHeight="1">
      <c r="A49" s="78"/>
      <c r="B49" s="99"/>
      <c r="C49" s="78"/>
      <c r="D49" s="78"/>
      <c r="E49" s="107"/>
      <c r="F49" s="99"/>
      <c r="G49" s="99"/>
      <c r="H49" s="107"/>
      <c r="I49" s="78"/>
    </row>
    <row r="50" ht="24.0" customHeight="1">
      <c r="A50" s="78"/>
      <c r="B50" s="99"/>
      <c r="C50" s="78"/>
      <c r="D50" s="78"/>
      <c r="E50" s="107"/>
      <c r="F50" s="99"/>
      <c r="G50" s="99"/>
      <c r="H50" s="107"/>
      <c r="I50" s="78"/>
    </row>
    <row r="51" ht="24.0" customHeight="1">
      <c r="A51" s="78"/>
      <c r="B51" s="99"/>
      <c r="C51" s="78"/>
      <c r="D51" s="78"/>
      <c r="E51" s="107"/>
      <c r="F51" s="99"/>
      <c r="G51" s="99"/>
      <c r="H51" s="107"/>
      <c r="I51" s="78"/>
    </row>
    <row r="52" ht="24.0" customHeight="1">
      <c r="A52" s="78"/>
      <c r="B52" s="99"/>
      <c r="C52" s="78"/>
      <c r="D52" s="78"/>
      <c r="E52" s="107"/>
      <c r="F52" s="99"/>
      <c r="G52" s="99"/>
      <c r="H52" s="107"/>
      <c r="I52" s="78"/>
    </row>
    <row r="53" ht="24.0" customHeight="1">
      <c r="A53" s="78"/>
      <c r="B53" s="99"/>
      <c r="C53" s="78"/>
      <c r="D53" s="78"/>
      <c r="E53" s="107"/>
      <c r="F53" s="99"/>
      <c r="G53" s="99"/>
      <c r="H53" s="107"/>
      <c r="I53" s="78"/>
    </row>
    <row r="54" ht="24.0" customHeight="1">
      <c r="A54" s="78"/>
      <c r="B54" s="99"/>
      <c r="C54" s="78"/>
      <c r="D54" s="78"/>
      <c r="E54" s="107"/>
      <c r="F54" s="99"/>
      <c r="G54" s="99"/>
      <c r="H54" s="107"/>
      <c r="I54" s="78"/>
    </row>
    <row r="55" ht="24.0" customHeight="1">
      <c r="A55" s="78"/>
      <c r="B55" s="99"/>
      <c r="C55" s="78"/>
      <c r="D55" s="78"/>
      <c r="E55" s="107"/>
      <c r="F55" s="99"/>
      <c r="G55" s="99"/>
      <c r="H55" s="107"/>
      <c r="I55" s="78"/>
    </row>
    <row r="56" ht="24.0" customHeight="1">
      <c r="A56" s="78"/>
      <c r="B56" s="99"/>
      <c r="C56" s="78"/>
      <c r="D56" s="78"/>
      <c r="E56" s="107"/>
      <c r="F56" s="99"/>
      <c r="G56" s="99"/>
      <c r="H56" s="107"/>
      <c r="I56" s="78"/>
    </row>
    <row r="57" ht="24.0" customHeight="1">
      <c r="A57" s="78"/>
      <c r="B57" s="99"/>
      <c r="C57" s="78"/>
      <c r="D57" s="78"/>
      <c r="E57" s="107"/>
      <c r="F57" s="99"/>
      <c r="G57" s="99"/>
      <c r="H57" s="107"/>
      <c r="I57" s="78"/>
    </row>
    <row r="58" ht="24.0" customHeight="1">
      <c r="A58" s="78"/>
      <c r="B58" s="99"/>
      <c r="C58" s="78"/>
      <c r="D58" s="78"/>
      <c r="E58" s="107"/>
      <c r="F58" s="99"/>
      <c r="G58" s="99"/>
      <c r="H58" s="107"/>
      <c r="I58" s="78"/>
    </row>
    <row r="59" ht="24.0" customHeight="1">
      <c r="A59" s="78"/>
      <c r="B59" s="99"/>
      <c r="C59" s="78"/>
      <c r="D59" s="78"/>
      <c r="E59" s="107"/>
      <c r="F59" s="99"/>
      <c r="G59" s="99"/>
      <c r="H59" s="107"/>
      <c r="I59" s="78"/>
    </row>
    <row r="60" ht="24.0" customHeight="1">
      <c r="A60" s="78"/>
      <c r="B60" s="99"/>
      <c r="C60" s="78"/>
      <c r="D60" s="78"/>
      <c r="E60" s="107"/>
      <c r="F60" s="99"/>
      <c r="G60" s="99"/>
      <c r="H60" s="107"/>
      <c r="I60" s="78"/>
    </row>
    <row r="61" ht="24.0" customHeight="1">
      <c r="A61" s="78"/>
      <c r="B61" s="99"/>
      <c r="C61" s="78"/>
      <c r="D61" s="78"/>
      <c r="E61" s="107"/>
      <c r="F61" s="99"/>
      <c r="G61" s="99"/>
      <c r="H61" s="107"/>
      <c r="I61" s="78"/>
    </row>
    <row r="62" ht="24.0" customHeight="1">
      <c r="A62" s="78"/>
      <c r="B62" s="99"/>
      <c r="C62" s="78"/>
      <c r="D62" s="78"/>
      <c r="E62" s="107"/>
      <c r="F62" s="99"/>
      <c r="G62" s="99"/>
      <c r="H62" s="107"/>
      <c r="I62" s="78"/>
    </row>
    <row r="63" ht="24.0" customHeight="1">
      <c r="A63" s="78"/>
      <c r="B63" s="99"/>
      <c r="C63" s="78"/>
      <c r="D63" s="78"/>
      <c r="E63" s="107"/>
      <c r="F63" s="99"/>
      <c r="G63" s="99"/>
      <c r="H63" s="107"/>
      <c r="I63" s="78"/>
    </row>
    <row r="64" ht="24.0" customHeight="1">
      <c r="A64" s="78"/>
      <c r="B64" s="99"/>
      <c r="C64" s="78"/>
      <c r="D64" s="78"/>
      <c r="E64" s="107"/>
      <c r="F64" s="99"/>
      <c r="G64" s="99"/>
      <c r="H64" s="107"/>
      <c r="I64" s="78"/>
    </row>
    <row r="65" ht="24.0" customHeight="1">
      <c r="A65" s="78"/>
      <c r="B65" s="99"/>
      <c r="C65" s="78"/>
      <c r="D65" s="78"/>
      <c r="E65" s="107"/>
      <c r="F65" s="99"/>
      <c r="G65" s="99"/>
      <c r="H65" s="107"/>
      <c r="I65" s="78"/>
    </row>
    <row r="66" ht="24.0" customHeight="1">
      <c r="A66" s="78"/>
      <c r="B66" s="99"/>
      <c r="C66" s="78"/>
      <c r="D66" s="78"/>
      <c r="E66" s="107"/>
      <c r="F66" s="99"/>
      <c r="G66" s="99"/>
      <c r="H66" s="107"/>
      <c r="I66" s="78"/>
    </row>
    <row r="67" ht="24.0" customHeight="1">
      <c r="A67" s="78"/>
      <c r="B67" s="99"/>
      <c r="C67" s="78"/>
      <c r="D67" s="78"/>
      <c r="E67" s="107"/>
      <c r="F67" s="99"/>
      <c r="G67" s="99"/>
      <c r="H67" s="107"/>
      <c r="I67" s="78"/>
    </row>
    <row r="68" ht="24.0" customHeight="1">
      <c r="A68" s="78"/>
      <c r="B68" s="99"/>
      <c r="C68" s="78"/>
      <c r="D68" s="78"/>
      <c r="E68" s="107"/>
      <c r="F68" s="99"/>
      <c r="G68" s="99"/>
      <c r="H68" s="107"/>
      <c r="I68" s="78"/>
    </row>
    <row r="69" ht="24.0" customHeight="1">
      <c r="A69" s="78"/>
      <c r="B69" s="99"/>
      <c r="C69" s="78"/>
      <c r="D69" s="78"/>
      <c r="E69" s="107"/>
      <c r="F69" s="99"/>
      <c r="G69" s="99"/>
      <c r="H69" s="107"/>
      <c r="I69" s="78"/>
    </row>
    <row r="70" ht="24.0" customHeight="1">
      <c r="A70" s="78"/>
      <c r="B70" s="99"/>
      <c r="C70" s="78"/>
      <c r="D70" s="78"/>
      <c r="E70" s="107"/>
      <c r="F70" s="99"/>
      <c r="G70" s="99"/>
      <c r="H70" s="107"/>
      <c r="I70" s="78"/>
    </row>
    <row r="71" ht="24.0" customHeight="1">
      <c r="A71" s="78"/>
      <c r="B71" s="99"/>
      <c r="C71" s="78"/>
      <c r="D71" s="78"/>
      <c r="E71" s="107"/>
      <c r="F71" s="99"/>
      <c r="G71" s="99"/>
      <c r="H71" s="107"/>
      <c r="I71" s="78"/>
    </row>
    <row r="72" ht="24.0" customHeight="1">
      <c r="A72" s="78"/>
      <c r="B72" s="99"/>
      <c r="C72" s="78"/>
      <c r="D72" s="78"/>
      <c r="E72" s="107"/>
      <c r="F72" s="99"/>
      <c r="G72" s="99"/>
      <c r="H72" s="107"/>
      <c r="I72" s="78"/>
    </row>
    <row r="73" ht="24.0" customHeight="1">
      <c r="A73" s="78"/>
      <c r="B73" s="99"/>
      <c r="C73" s="78"/>
      <c r="D73" s="78"/>
      <c r="E73" s="107"/>
      <c r="F73" s="99"/>
      <c r="G73" s="99"/>
      <c r="H73" s="107"/>
      <c r="I73" s="78"/>
    </row>
    <row r="74" ht="24.0" customHeight="1">
      <c r="A74" s="78"/>
      <c r="B74" s="99"/>
      <c r="C74" s="78"/>
      <c r="D74" s="78"/>
      <c r="E74" s="107"/>
      <c r="F74" s="99"/>
      <c r="G74" s="99"/>
      <c r="H74" s="107"/>
      <c r="I74" s="78"/>
    </row>
    <row r="75" ht="24.0" customHeight="1">
      <c r="A75" s="78"/>
      <c r="B75" s="99"/>
      <c r="C75" s="78"/>
      <c r="D75" s="78"/>
      <c r="E75" s="107"/>
      <c r="F75" s="99"/>
      <c r="G75" s="99"/>
      <c r="H75" s="107"/>
      <c r="I75" s="78"/>
    </row>
    <row r="76" ht="24.0" customHeight="1">
      <c r="A76" s="78"/>
      <c r="B76" s="99"/>
      <c r="C76" s="78"/>
      <c r="D76" s="78"/>
      <c r="E76" s="107"/>
      <c r="F76" s="99"/>
      <c r="G76" s="99"/>
      <c r="H76" s="107"/>
      <c r="I76" s="78"/>
    </row>
    <row r="77" ht="24.0" customHeight="1">
      <c r="A77" s="78"/>
      <c r="B77" s="99"/>
      <c r="C77" s="78"/>
      <c r="D77" s="78"/>
      <c r="E77" s="107"/>
      <c r="F77" s="99"/>
      <c r="G77" s="99"/>
      <c r="H77" s="107"/>
      <c r="I77" s="78"/>
    </row>
    <row r="78" ht="24.0" customHeight="1">
      <c r="A78" s="78"/>
      <c r="B78" s="99"/>
      <c r="C78" s="78"/>
      <c r="D78" s="78"/>
      <c r="E78" s="107"/>
      <c r="F78" s="99"/>
      <c r="G78" s="99"/>
      <c r="H78" s="107"/>
      <c r="I78" s="78"/>
    </row>
    <row r="79" ht="24.0" customHeight="1">
      <c r="A79" s="78"/>
      <c r="B79" s="99"/>
      <c r="C79" s="78"/>
      <c r="D79" s="78"/>
      <c r="E79" s="107"/>
      <c r="F79" s="99"/>
      <c r="G79" s="99"/>
      <c r="H79" s="107"/>
      <c r="I79" s="78"/>
    </row>
    <row r="80" ht="24.0" customHeight="1">
      <c r="A80" s="78"/>
      <c r="B80" s="99"/>
      <c r="C80" s="78"/>
      <c r="D80" s="78"/>
      <c r="E80" s="107"/>
      <c r="F80" s="99"/>
      <c r="G80" s="99"/>
      <c r="H80" s="107"/>
      <c r="I80" s="78"/>
    </row>
    <row r="81" ht="24.0" customHeight="1">
      <c r="A81" s="78"/>
      <c r="B81" s="99"/>
      <c r="C81" s="78"/>
      <c r="D81" s="78"/>
      <c r="E81" s="107"/>
      <c r="F81" s="99"/>
      <c r="G81" s="99"/>
      <c r="H81" s="107"/>
      <c r="I81" s="78"/>
    </row>
    <row r="82" ht="24.0" customHeight="1">
      <c r="A82" s="78"/>
      <c r="B82" s="99"/>
      <c r="C82" s="78"/>
      <c r="D82" s="78"/>
      <c r="E82" s="107"/>
      <c r="F82" s="99"/>
      <c r="G82" s="99"/>
      <c r="H82" s="107"/>
      <c r="I82" s="78"/>
    </row>
    <row r="83" ht="24.0" customHeight="1">
      <c r="A83" s="78"/>
      <c r="B83" s="99"/>
      <c r="C83" s="78"/>
      <c r="D83" s="78"/>
      <c r="E83" s="107"/>
      <c r="F83" s="99"/>
      <c r="G83" s="99"/>
      <c r="H83" s="107"/>
      <c r="I83" s="78"/>
    </row>
    <row r="84" ht="24.0" customHeight="1">
      <c r="A84" s="78"/>
      <c r="B84" s="99"/>
      <c r="C84" s="78"/>
      <c r="D84" s="78"/>
      <c r="E84" s="107"/>
      <c r="F84" s="99"/>
      <c r="G84" s="99"/>
      <c r="H84" s="107"/>
      <c r="I84" s="78"/>
    </row>
    <row r="85" ht="24.0" customHeight="1">
      <c r="A85" s="78"/>
      <c r="B85" s="99"/>
      <c r="C85" s="78"/>
      <c r="D85" s="78"/>
      <c r="E85" s="107"/>
      <c r="F85" s="99"/>
      <c r="G85" s="99"/>
      <c r="H85" s="107"/>
      <c r="I85" s="78"/>
    </row>
    <row r="86" ht="24.0" customHeight="1">
      <c r="A86" s="78"/>
      <c r="B86" s="99"/>
      <c r="C86" s="78"/>
      <c r="D86" s="78"/>
      <c r="E86" s="107"/>
      <c r="F86" s="99"/>
      <c r="G86" s="99"/>
      <c r="H86" s="107"/>
      <c r="I86" s="78"/>
    </row>
    <row r="87" ht="24.0" customHeight="1">
      <c r="A87" s="78"/>
      <c r="B87" s="99"/>
      <c r="C87" s="78"/>
      <c r="D87" s="78"/>
      <c r="E87" s="107"/>
      <c r="F87" s="99"/>
      <c r="G87" s="99"/>
      <c r="H87" s="107"/>
      <c r="I87" s="78"/>
    </row>
    <row r="88" ht="24.0" customHeight="1">
      <c r="A88" s="78"/>
      <c r="B88" s="99"/>
      <c r="C88" s="78"/>
      <c r="D88" s="78"/>
      <c r="E88" s="107"/>
      <c r="F88" s="99"/>
      <c r="G88" s="99"/>
      <c r="H88" s="107"/>
      <c r="I88" s="78"/>
    </row>
    <row r="89" ht="24.0" customHeight="1">
      <c r="A89" s="78"/>
      <c r="B89" s="99"/>
      <c r="C89" s="78"/>
      <c r="D89" s="78"/>
      <c r="E89" s="107"/>
      <c r="F89" s="99"/>
      <c r="G89" s="99"/>
      <c r="H89" s="107"/>
      <c r="I89" s="78"/>
    </row>
    <row r="90" ht="24.0" customHeight="1">
      <c r="A90" s="78"/>
      <c r="B90" s="99"/>
      <c r="C90" s="78"/>
      <c r="D90" s="78"/>
      <c r="E90" s="107"/>
      <c r="F90" s="99"/>
      <c r="G90" s="99"/>
      <c r="H90" s="107"/>
      <c r="I90" s="78"/>
    </row>
    <row r="91" ht="24.0" customHeight="1">
      <c r="A91" s="78"/>
      <c r="B91" s="99"/>
      <c r="C91" s="78"/>
      <c r="D91" s="78"/>
      <c r="E91" s="107"/>
      <c r="F91" s="99"/>
      <c r="G91" s="99"/>
      <c r="H91" s="107"/>
      <c r="I91" s="78"/>
    </row>
    <row r="92" ht="24.0" customHeight="1">
      <c r="A92" s="78"/>
      <c r="B92" s="99"/>
      <c r="C92" s="78"/>
      <c r="D92" s="78"/>
      <c r="E92" s="107"/>
      <c r="F92" s="99"/>
      <c r="G92" s="99"/>
      <c r="H92" s="107"/>
      <c r="I92" s="78"/>
    </row>
    <row r="93" ht="24.0" customHeight="1">
      <c r="A93" s="78"/>
      <c r="B93" s="99"/>
      <c r="C93" s="78"/>
      <c r="D93" s="78"/>
      <c r="E93" s="107"/>
      <c r="F93" s="99"/>
      <c r="G93" s="99"/>
      <c r="H93" s="107"/>
      <c r="I93" s="78"/>
    </row>
    <row r="94" ht="24.0" customHeight="1">
      <c r="A94" s="78"/>
      <c r="B94" s="99"/>
      <c r="C94" s="78"/>
      <c r="D94" s="78"/>
      <c r="E94" s="107"/>
      <c r="F94" s="99"/>
      <c r="G94" s="99"/>
      <c r="H94" s="107"/>
      <c r="I94" s="78"/>
    </row>
    <row r="95" ht="24.0" customHeight="1">
      <c r="A95" s="78"/>
      <c r="B95" s="99"/>
      <c r="C95" s="78"/>
      <c r="D95" s="78"/>
      <c r="E95" s="107"/>
      <c r="F95" s="99"/>
      <c r="G95" s="99"/>
      <c r="H95" s="107"/>
      <c r="I95" s="78"/>
    </row>
    <row r="96" ht="24.0" customHeight="1">
      <c r="A96" s="78"/>
      <c r="B96" s="99"/>
      <c r="C96" s="78"/>
      <c r="D96" s="78"/>
      <c r="E96" s="107"/>
      <c r="F96" s="99"/>
      <c r="G96" s="99"/>
      <c r="H96" s="107"/>
      <c r="I96" s="78"/>
    </row>
    <row r="97" ht="24.0" customHeight="1">
      <c r="A97" s="78"/>
      <c r="B97" s="99"/>
      <c r="C97" s="78"/>
      <c r="D97" s="78"/>
      <c r="E97" s="107"/>
      <c r="F97" s="99"/>
      <c r="G97" s="99"/>
      <c r="H97" s="107"/>
      <c r="I97" s="78"/>
    </row>
    <row r="98" ht="24.0" customHeight="1">
      <c r="A98" s="78"/>
      <c r="B98" s="99"/>
      <c r="C98" s="78"/>
      <c r="D98" s="78"/>
      <c r="E98" s="107"/>
      <c r="F98" s="99"/>
      <c r="G98" s="99"/>
      <c r="H98" s="107"/>
      <c r="I98" s="78"/>
    </row>
    <row r="99" ht="24.0" customHeight="1">
      <c r="A99" s="78"/>
      <c r="B99" s="99"/>
      <c r="C99" s="78"/>
      <c r="D99" s="78"/>
      <c r="E99" s="107"/>
      <c r="F99" s="99"/>
      <c r="G99" s="99"/>
      <c r="H99" s="107"/>
      <c r="I99" s="78"/>
    </row>
    <row r="100" ht="24.0" customHeight="1">
      <c r="A100" s="78"/>
      <c r="B100" s="99"/>
      <c r="C100" s="78"/>
      <c r="D100" s="78"/>
      <c r="E100" s="107"/>
      <c r="F100" s="99"/>
      <c r="G100" s="99"/>
      <c r="H100" s="107"/>
      <c r="I100" s="78"/>
    </row>
    <row r="101" ht="24.0" customHeight="1">
      <c r="A101" s="78"/>
      <c r="B101" s="99"/>
      <c r="C101" s="78"/>
      <c r="D101" s="78"/>
      <c r="E101" s="107"/>
      <c r="F101" s="99"/>
      <c r="G101" s="99"/>
      <c r="H101" s="107"/>
      <c r="I101" s="78"/>
    </row>
    <row r="102" ht="24.0" customHeight="1">
      <c r="A102" s="78"/>
      <c r="B102" s="99"/>
      <c r="C102" s="78"/>
      <c r="D102" s="78"/>
      <c r="E102" s="107"/>
      <c r="F102" s="99"/>
      <c r="G102" s="99"/>
      <c r="H102" s="107"/>
      <c r="I102" s="78"/>
    </row>
    <row r="103" ht="24.0" customHeight="1">
      <c r="A103" s="78"/>
      <c r="B103" s="99"/>
      <c r="C103" s="78"/>
      <c r="D103" s="78"/>
      <c r="E103" s="107"/>
      <c r="F103" s="99"/>
      <c r="G103" s="99"/>
      <c r="H103" s="107"/>
      <c r="I103" s="78"/>
    </row>
    <row r="104" ht="24.0" customHeight="1">
      <c r="A104" s="78"/>
      <c r="B104" s="99"/>
      <c r="C104" s="78"/>
      <c r="D104" s="78"/>
      <c r="E104" s="107"/>
      <c r="F104" s="99"/>
      <c r="G104" s="99"/>
      <c r="H104" s="107"/>
      <c r="I104" s="78"/>
    </row>
    <row r="105" ht="24.0" customHeight="1">
      <c r="A105" s="78"/>
      <c r="B105" s="99"/>
      <c r="C105" s="78"/>
      <c r="D105" s="78"/>
      <c r="E105" s="107"/>
      <c r="F105" s="99"/>
      <c r="G105" s="99"/>
      <c r="H105" s="107"/>
      <c r="I105" s="78"/>
    </row>
    <row r="106" ht="24.0" customHeight="1">
      <c r="A106" s="78"/>
      <c r="B106" s="99"/>
      <c r="C106" s="78"/>
      <c r="D106" s="78"/>
      <c r="E106" s="107"/>
      <c r="F106" s="99"/>
      <c r="G106" s="99"/>
      <c r="H106" s="107"/>
      <c r="I106" s="78"/>
    </row>
    <row r="107" ht="24.0" customHeight="1">
      <c r="A107" s="78"/>
      <c r="B107" s="99"/>
      <c r="C107" s="78"/>
      <c r="D107" s="78"/>
      <c r="E107" s="107"/>
      <c r="F107" s="99"/>
      <c r="G107" s="99"/>
      <c r="H107" s="107"/>
      <c r="I107" s="78"/>
    </row>
    <row r="108" ht="24.0" customHeight="1">
      <c r="A108" s="78"/>
      <c r="B108" s="99"/>
      <c r="C108" s="78"/>
      <c r="D108" s="78"/>
      <c r="E108" s="107"/>
      <c r="F108" s="99"/>
      <c r="G108" s="99"/>
      <c r="H108" s="107"/>
      <c r="I108" s="78"/>
    </row>
    <row r="109" ht="24.0" customHeight="1">
      <c r="A109" s="78"/>
      <c r="B109" s="99"/>
      <c r="C109" s="78"/>
      <c r="D109" s="78"/>
      <c r="E109" s="107"/>
      <c r="F109" s="99"/>
      <c r="G109" s="99"/>
      <c r="H109" s="107"/>
      <c r="I109" s="78"/>
    </row>
    <row r="110" ht="24.0" customHeight="1">
      <c r="A110" s="78"/>
      <c r="B110" s="99"/>
      <c r="C110" s="78"/>
      <c r="D110" s="78"/>
      <c r="E110" s="107"/>
      <c r="F110" s="99"/>
      <c r="G110" s="99"/>
      <c r="H110" s="107"/>
      <c r="I110" s="78"/>
    </row>
    <row r="111" ht="24.0" customHeight="1">
      <c r="A111" s="78"/>
      <c r="B111" s="99"/>
      <c r="C111" s="78"/>
      <c r="D111" s="78"/>
      <c r="E111" s="107"/>
      <c r="F111" s="99"/>
      <c r="G111" s="99"/>
      <c r="H111" s="107"/>
      <c r="I111" s="78"/>
    </row>
    <row r="112" ht="24.0" customHeight="1">
      <c r="A112" s="78"/>
      <c r="B112" s="99"/>
      <c r="C112" s="78"/>
      <c r="D112" s="78"/>
      <c r="E112" s="107"/>
      <c r="F112" s="99"/>
      <c r="G112" s="99"/>
      <c r="H112" s="107"/>
      <c r="I112" s="78"/>
    </row>
    <row r="113" ht="24.0" customHeight="1">
      <c r="A113" s="78"/>
      <c r="B113" s="99"/>
      <c r="C113" s="78"/>
      <c r="D113" s="78"/>
      <c r="E113" s="107"/>
      <c r="F113" s="99"/>
      <c r="G113" s="99"/>
      <c r="H113" s="107"/>
      <c r="I113" s="78"/>
    </row>
    <row r="114" ht="24.0" customHeight="1">
      <c r="A114" s="78"/>
      <c r="B114" s="99"/>
      <c r="C114" s="78"/>
      <c r="D114" s="78"/>
      <c r="E114" s="107"/>
      <c r="F114" s="99"/>
      <c r="G114" s="99"/>
      <c r="H114" s="107"/>
      <c r="I114" s="78"/>
    </row>
    <row r="115" ht="24.0" customHeight="1">
      <c r="A115" s="78"/>
      <c r="B115" s="99"/>
      <c r="C115" s="78"/>
      <c r="D115" s="78"/>
      <c r="E115" s="107"/>
      <c r="F115" s="99"/>
      <c r="G115" s="99"/>
      <c r="H115" s="107"/>
      <c r="I115" s="78"/>
    </row>
    <row r="116" ht="24.0" customHeight="1">
      <c r="A116" s="78"/>
      <c r="B116" s="99"/>
      <c r="C116" s="78"/>
      <c r="D116" s="78"/>
      <c r="E116" s="107"/>
      <c r="F116" s="99"/>
      <c r="G116" s="99"/>
      <c r="H116" s="107"/>
      <c r="I116" s="78"/>
    </row>
    <row r="117" ht="24.0" customHeight="1">
      <c r="A117" s="78"/>
      <c r="B117" s="99"/>
      <c r="C117" s="78"/>
      <c r="D117" s="78"/>
      <c r="E117" s="107"/>
      <c r="F117" s="99"/>
      <c r="G117" s="99"/>
      <c r="H117" s="107"/>
      <c r="I117" s="78"/>
    </row>
    <row r="118" ht="24.0" customHeight="1">
      <c r="A118" s="78"/>
      <c r="B118" s="99"/>
      <c r="C118" s="78"/>
      <c r="D118" s="78"/>
      <c r="E118" s="107"/>
      <c r="F118" s="99"/>
      <c r="G118" s="99"/>
      <c r="H118" s="107"/>
      <c r="I118" s="78"/>
    </row>
    <row r="119" ht="24.0" customHeight="1">
      <c r="A119" s="78"/>
      <c r="B119" s="99"/>
      <c r="C119" s="78"/>
      <c r="D119" s="78"/>
      <c r="E119" s="107"/>
      <c r="F119" s="99"/>
      <c r="G119" s="99"/>
      <c r="H119" s="107"/>
      <c r="I119" s="78"/>
    </row>
    <row r="120" ht="24.0" customHeight="1">
      <c r="A120" s="78"/>
      <c r="B120" s="99"/>
      <c r="C120" s="78"/>
      <c r="D120" s="78"/>
      <c r="E120" s="107"/>
      <c r="F120" s="99"/>
      <c r="G120" s="99"/>
      <c r="H120" s="107"/>
      <c r="I120" s="78"/>
    </row>
    <row r="121" ht="24.0" customHeight="1">
      <c r="A121" s="78"/>
      <c r="B121" s="99"/>
      <c r="C121" s="78"/>
      <c r="D121" s="78"/>
      <c r="E121" s="107"/>
      <c r="F121" s="99"/>
      <c r="G121" s="99"/>
      <c r="H121" s="107"/>
      <c r="I121" s="78"/>
    </row>
    <row r="122" ht="24.0" customHeight="1">
      <c r="A122" s="78"/>
      <c r="B122" s="99"/>
      <c r="C122" s="78"/>
      <c r="D122" s="78"/>
      <c r="E122" s="107"/>
      <c r="F122" s="99"/>
      <c r="G122" s="99"/>
      <c r="H122" s="107"/>
      <c r="I122" s="78"/>
    </row>
    <row r="123" ht="24.0" customHeight="1">
      <c r="A123" s="78"/>
      <c r="B123" s="99"/>
      <c r="C123" s="78"/>
      <c r="D123" s="78"/>
      <c r="E123" s="107"/>
      <c r="F123" s="99"/>
      <c r="G123" s="99"/>
      <c r="H123" s="107"/>
      <c r="I123" s="78"/>
    </row>
    <row r="124" ht="24.0" customHeight="1">
      <c r="A124" s="78"/>
      <c r="B124" s="99"/>
      <c r="C124" s="78"/>
      <c r="D124" s="78"/>
      <c r="E124" s="107"/>
      <c r="F124" s="99"/>
      <c r="G124" s="99"/>
      <c r="H124" s="107"/>
      <c r="I124" s="78"/>
    </row>
    <row r="125" ht="24.0" customHeight="1">
      <c r="A125" s="78"/>
      <c r="B125" s="99"/>
      <c r="C125" s="78"/>
      <c r="D125" s="78"/>
      <c r="E125" s="107"/>
      <c r="F125" s="99"/>
      <c r="G125" s="99"/>
      <c r="H125" s="107"/>
      <c r="I125" s="78"/>
    </row>
    <row r="126" ht="24.0" customHeight="1">
      <c r="A126" s="78"/>
      <c r="B126" s="99"/>
      <c r="C126" s="78"/>
      <c r="D126" s="78"/>
      <c r="E126" s="107"/>
      <c r="F126" s="99"/>
      <c r="G126" s="99"/>
      <c r="H126" s="107"/>
      <c r="I126" s="78"/>
    </row>
    <row r="127" ht="24.0" customHeight="1">
      <c r="A127" s="78"/>
      <c r="B127" s="99"/>
      <c r="C127" s="78"/>
      <c r="D127" s="78"/>
      <c r="E127" s="107"/>
      <c r="F127" s="99"/>
      <c r="G127" s="99"/>
      <c r="H127" s="107"/>
      <c r="I127" s="78"/>
    </row>
    <row r="128" ht="24.0" customHeight="1">
      <c r="A128" s="78"/>
      <c r="B128" s="99"/>
      <c r="C128" s="78"/>
      <c r="D128" s="78"/>
      <c r="E128" s="107"/>
      <c r="F128" s="99"/>
      <c r="G128" s="99"/>
      <c r="H128" s="107"/>
      <c r="I128" s="78"/>
    </row>
    <row r="129" ht="24.0" customHeight="1">
      <c r="A129" s="78"/>
      <c r="B129" s="99"/>
      <c r="C129" s="78"/>
      <c r="D129" s="78"/>
      <c r="E129" s="107"/>
      <c r="F129" s="99"/>
      <c r="G129" s="99"/>
      <c r="H129" s="107"/>
      <c r="I129" s="78"/>
    </row>
    <row r="130" ht="24.0" customHeight="1">
      <c r="A130" s="78"/>
      <c r="B130" s="99"/>
      <c r="C130" s="78"/>
      <c r="D130" s="78"/>
      <c r="E130" s="107"/>
      <c r="F130" s="99"/>
      <c r="G130" s="99"/>
      <c r="H130" s="107"/>
      <c r="I130" s="78"/>
    </row>
    <row r="131" ht="24.0" customHeight="1">
      <c r="A131" s="78"/>
      <c r="B131" s="99"/>
      <c r="C131" s="78"/>
      <c r="D131" s="78"/>
      <c r="E131" s="107"/>
      <c r="F131" s="99"/>
      <c r="G131" s="99"/>
      <c r="H131" s="107"/>
      <c r="I131" s="78"/>
    </row>
    <row r="132" ht="24.0" customHeight="1">
      <c r="A132" s="78"/>
      <c r="B132" s="99"/>
      <c r="C132" s="78"/>
      <c r="D132" s="78"/>
      <c r="E132" s="107"/>
      <c r="F132" s="99"/>
      <c r="G132" s="99"/>
      <c r="H132" s="107"/>
      <c r="I132" s="78"/>
    </row>
    <row r="133" ht="24.0" customHeight="1">
      <c r="A133" s="78"/>
      <c r="B133" s="99"/>
      <c r="C133" s="78"/>
      <c r="D133" s="78"/>
      <c r="E133" s="107"/>
      <c r="F133" s="99"/>
      <c r="G133" s="99"/>
      <c r="H133" s="107"/>
      <c r="I133" s="78"/>
    </row>
    <row r="134" ht="24.0" customHeight="1">
      <c r="A134" s="78"/>
      <c r="B134" s="99"/>
      <c r="C134" s="78"/>
      <c r="D134" s="78"/>
      <c r="E134" s="107"/>
      <c r="F134" s="99"/>
      <c r="G134" s="99"/>
      <c r="H134" s="107"/>
      <c r="I134" s="78"/>
    </row>
    <row r="135" ht="24.0" customHeight="1">
      <c r="A135" s="78"/>
      <c r="B135" s="99"/>
      <c r="C135" s="78"/>
      <c r="D135" s="78"/>
      <c r="E135" s="107"/>
      <c r="F135" s="99"/>
      <c r="G135" s="99"/>
      <c r="H135" s="107"/>
      <c r="I135" s="78"/>
    </row>
    <row r="136" ht="24.0" customHeight="1">
      <c r="A136" s="78"/>
      <c r="B136" s="99"/>
      <c r="C136" s="78"/>
      <c r="D136" s="78"/>
      <c r="E136" s="107"/>
      <c r="F136" s="99"/>
      <c r="G136" s="99"/>
      <c r="H136" s="107"/>
      <c r="I136" s="78"/>
    </row>
    <row r="137" ht="24.0" customHeight="1">
      <c r="A137" s="78"/>
      <c r="B137" s="99"/>
      <c r="C137" s="78"/>
      <c r="D137" s="78"/>
      <c r="E137" s="107"/>
      <c r="F137" s="99"/>
      <c r="G137" s="99"/>
      <c r="H137" s="107"/>
      <c r="I137" s="78"/>
    </row>
    <row r="138" ht="24.0" customHeight="1">
      <c r="A138" s="78"/>
      <c r="B138" s="99"/>
      <c r="C138" s="78"/>
      <c r="D138" s="78"/>
      <c r="E138" s="107"/>
      <c r="F138" s="99"/>
      <c r="G138" s="99"/>
      <c r="H138" s="107"/>
      <c r="I138" s="78"/>
    </row>
    <row r="139" ht="24.0" customHeight="1">
      <c r="A139" s="78"/>
      <c r="B139" s="99"/>
      <c r="C139" s="78"/>
      <c r="D139" s="78"/>
      <c r="E139" s="107"/>
      <c r="F139" s="99"/>
      <c r="G139" s="99"/>
      <c r="H139" s="107"/>
      <c r="I139" s="78"/>
    </row>
    <row r="140" ht="24.0" customHeight="1">
      <c r="A140" s="78"/>
      <c r="B140" s="99"/>
      <c r="C140" s="78"/>
      <c r="D140" s="78"/>
      <c r="E140" s="107"/>
      <c r="F140" s="99"/>
      <c r="G140" s="99"/>
      <c r="H140" s="107"/>
      <c r="I140" s="78"/>
    </row>
    <row r="141" ht="24.0" customHeight="1">
      <c r="A141" s="78"/>
      <c r="B141" s="99"/>
      <c r="C141" s="78"/>
      <c r="D141" s="78"/>
      <c r="E141" s="107"/>
      <c r="F141" s="99"/>
      <c r="G141" s="99"/>
      <c r="H141" s="107"/>
      <c r="I141" s="78"/>
    </row>
    <row r="142" ht="24.0" customHeight="1">
      <c r="A142" s="78"/>
      <c r="B142" s="99"/>
      <c r="C142" s="78"/>
      <c r="D142" s="78"/>
      <c r="E142" s="107"/>
      <c r="F142" s="99"/>
      <c r="G142" s="99"/>
      <c r="H142" s="107"/>
      <c r="I142" s="78"/>
    </row>
    <row r="143" ht="24.0" customHeight="1">
      <c r="A143" s="78"/>
      <c r="B143" s="99"/>
      <c r="C143" s="78"/>
      <c r="D143" s="78"/>
      <c r="E143" s="107"/>
      <c r="F143" s="99"/>
      <c r="G143" s="99"/>
      <c r="H143" s="107"/>
      <c r="I143" s="78"/>
    </row>
    <row r="144" ht="24.0" customHeight="1">
      <c r="A144" s="78"/>
      <c r="B144" s="99"/>
      <c r="C144" s="78"/>
      <c r="D144" s="78"/>
      <c r="E144" s="107"/>
      <c r="F144" s="99"/>
      <c r="G144" s="99"/>
      <c r="H144" s="107"/>
      <c r="I144" s="78"/>
    </row>
    <row r="145" ht="24.0" customHeight="1">
      <c r="A145" s="78"/>
      <c r="B145" s="99"/>
      <c r="C145" s="78"/>
      <c r="D145" s="78"/>
      <c r="E145" s="107"/>
      <c r="F145" s="99"/>
      <c r="G145" s="99"/>
      <c r="H145" s="107"/>
      <c r="I145" s="78"/>
    </row>
    <row r="146" ht="24.0" customHeight="1">
      <c r="A146" s="78"/>
      <c r="B146" s="99"/>
      <c r="C146" s="78"/>
      <c r="D146" s="78"/>
      <c r="E146" s="107"/>
      <c r="F146" s="99"/>
      <c r="G146" s="99"/>
      <c r="H146" s="107"/>
      <c r="I146" s="78"/>
    </row>
    <row r="147" ht="24.0" customHeight="1">
      <c r="A147" s="78"/>
      <c r="B147" s="99"/>
      <c r="C147" s="78"/>
      <c r="D147" s="78"/>
      <c r="E147" s="107"/>
      <c r="F147" s="99"/>
      <c r="G147" s="99"/>
      <c r="H147" s="107"/>
      <c r="I147" s="78"/>
    </row>
    <row r="148" ht="24.0" customHeight="1">
      <c r="A148" s="78"/>
      <c r="B148" s="99"/>
      <c r="C148" s="78"/>
      <c r="D148" s="78"/>
      <c r="E148" s="107"/>
      <c r="F148" s="99"/>
      <c r="G148" s="99"/>
      <c r="H148" s="107"/>
      <c r="I148" s="78"/>
    </row>
    <row r="149" ht="24.0" customHeight="1">
      <c r="A149" s="78"/>
      <c r="B149" s="99"/>
      <c r="C149" s="78"/>
      <c r="D149" s="78"/>
      <c r="E149" s="107"/>
      <c r="F149" s="99"/>
      <c r="G149" s="99"/>
      <c r="H149" s="107"/>
      <c r="I149" s="78"/>
    </row>
    <row r="150" ht="24.0" customHeight="1">
      <c r="A150" s="78"/>
      <c r="B150" s="99"/>
      <c r="C150" s="78"/>
      <c r="D150" s="78"/>
      <c r="E150" s="107"/>
      <c r="F150" s="99"/>
      <c r="G150" s="99"/>
      <c r="H150" s="107"/>
      <c r="I150" s="78"/>
    </row>
    <row r="151" ht="24.0" customHeight="1">
      <c r="A151" s="78"/>
      <c r="B151" s="99"/>
      <c r="C151" s="78"/>
      <c r="D151" s="78"/>
      <c r="E151" s="107"/>
      <c r="F151" s="99"/>
      <c r="G151" s="99"/>
      <c r="H151" s="107"/>
      <c r="I151" s="78"/>
    </row>
    <row r="152" ht="24.0" customHeight="1">
      <c r="A152" s="78"/>
      <c r="B152" s="99"/>
      <c r="C152" s="78"/>
      <c r="D152" s="78"/>
      <c r="E152" s="107"/>
      <c r="F152" s="99"/>
      <c r="G152" s="99"/>
      <c r="H152" s="107"/>
      <c r="I152" s="78"/>
    </row>
    <row r="153" ht="24.0" customHeight="1">
      <c r="A153" s="78"/>
      <c r="B153" s="99"/>
      <c r="C153" s="78"/>
      <c r="D153" s="78"/>
      <c r="E153" s="107"/>
      <c r="F153" s="99"/>
      <c r="G153" s="99"/>
      <c r="H153" s="107"/>
      <c r="I153" s="78"/>
    </row>
    <row r="154" ht="24.0" customHeight="1">
      <c r="A154" s="78"/>
      <c r="B154" s="99"/>
      <c r="C154" s="78"/>
      <c r="D154" s="78"/>
      <c r="E154" s="107"/>
      <c r="F154" s="99"/>
      <c r="G154" s="99"/>
      <c r="H154" s="107"/>
      <c r="I154" s="78"/>
    </row>
    <row r="155" ht="24.0" customHeight="1">
      <c r="A155" s="78"/>
      <c r="B155" s="99"/>
      <c r="C155" s="78"/>
      <c r="D155" s="78"/>
      <c r="E155" s="107"/>
      <c r="F155" s="99"/>
      <c r="G155" s="99"/>
      <c r="H155" s="107"/>
      <c r="I155" s="78"/>
    </row>
    <row r="156" ht="24.0" customHeight="1">
      <c r="A156" s="78"/>
      <c r="B156" s="99"/>
      <c r="C156" s="78"/>
      <c r="D156" s="78"/>
      <c r="E156" s="107"/>
      <c r="F156" s="99"/>
      <c r="G156" s="99"/>
      <c r="H156" s="107"/>
      <c r="I156" s="78"/>
    </row>
    <row r="157" ht="24.0" customHeight="1">
      <c r="A157" s="78"/>
      <c r="B157" s="99"/>
      <c r="C157" s="78"/>
      <c r="D157" s="78"/>
      <c r="E157" s="107"/>
      <c r="F157" s="99"/>
      <c r="G157" s="99"/>
      <c r="H157" s="107"/>
      <c r="I157" s="78"/>
    </row>
    <row r="158" ht="24.0" customHeight="1">
      <c r="A158" s="78"/>
      <c r="B158" s="99"/>
      <c r="C158" s="78"/>
      <c r="D158" s="78"/>
      <c r="E158" s="107"/>
      <c r="F158" s="99"/>
      <c r="G158" s="99"/>
      <c r="H158" s="107"/>
      <c r="I158" s="78"/>
    </row>
    <row r="159" ht="24.0" customHeight="1">
      <c r="A159" s="78"/>
      <c r="B159" s="99"/>
      <c r="C159" s="78"/>
      <c r="D159" s="78"/>
      <c r="E159" s="107"/>
      <c r="F159" s="99"/>
      <c r="G159" s="99"/>
      <c r="H159" s="107"/>
      <c r="I159" s="78"/>
    </row>
    <row r="160" ht="24.0" customHeight="1">
      <c r="A160" s="78"/>
      <c r="B160" s="99"/>
      <c r="C160" s="78"/>
      <c r="D160" s="78"/>
      <c r="E160" s="107"/>
      <c r="F160" s="99"/>
      <c r="G160" s="99"/>
      <c r="H160" s="107"/>
      <c r="I160" s="78"/>
    </row>
    <row r="161" ht="24.0" customHeight="1">
      <c r="A161" s="78"/>
      <c r="B161" s="99"/>
      <c r="C161" s="78"/>
      <c r="D161" s="78"/>
      <c r="E161" s="107"/>
      <c r="F161" s="99"/>
      <c r="G161" s="99"/>
      <c r="H161" s="107"/>
      <c r="I161" s="78"/>
    </row>
    <row r="162" ht="24.0" customHeight="1">
      <c r="A162" s="78"/>
      <c r="B162" s="99"/>
      <c r="C162" s="78"/>
      <c r="D162" s="78"/>
      <c r="E162" s="107"/>
      <c r="F162" s="99"/>
      <c r="G162" s="99"/>
      <c r="H162" s="107"/>
      <c r="I162" s="78"/>
    </row>
    <row r="163" ht="24.0" customHeight="1">
      <c r="A163" s="78"/>
      <c r="B163" s="99"/>
      <c r="C163" s="78"/>
      <c r="D163" s="78"/>
      <c r="E163" s="107"/>
      <c r="F163" s="99"/>
      <c r="G163" s="99"/>
      <c r="H163" s="107"/>
      <c r="I163" s="78"/>
    </row>
    <row r="164" ht="24.0" customHeight="1">
      <c r="A164" s="78"/>
      <c r="B164" s="99"/>
      <c r="C164" s="78"/>
      <c r="D164" s="78"/>
      <c r="E164" s="107"/>
      <c r="F164" s="99"/>
      <c r="G164" s="99"/>
      <c r="H164" s="107"/>
      <c r="I164" s="78"/>
    </row>
    <row r="165" ht="24.0" customHeight="1">
      <c r="A165" s="78"/>
      <c r="B165" s="99"/>
      <c r="C165" s="78"/>
      <c r="D165" s="78"/>
      <c r="E165" s="107"/>
      <c r="F165" s="99"/>
      <c r="G165" s="99"/>
      <c r="H165" s="107"/>
      <c r="I165" s="78"/>
    </row>
    <row r="166" ht="24.0" customHeight="1">
      <c r="A166" s="78"/>
      <c r="B166" s="99"/>
      <c r="C166" s="78"/>
      <c r="D166" s="78"/>
      <c r="E166" s="107"/>
      <c r="F166" s="99"/>
      <c r="G166" s="99"/>
      <c r="H166" s="107"/>
      <c r="I166" s="78"/>
    </row>
    <row r="167" ht="24.0" customHeight="1">
      <c r="A167" s="78"/>
      <c r="B167" s="99"/>
      <c r="C167" s="78"/>
      <c r="D167" s="78"/>
      <c r="E167" s="107"/>
      <c r="F167" s="99"/>
      <c r="G167" s="99"/>
      <c r="H167" s="107"/>
      <c r="I167" s="78"/>
    </row>
    <row r="168" ht="24.0" customHeight="1">
      <c r="A168" s="78"/>
      <c r="B168" s="99"/>
      <c r="C168" s="78"/>
      <c r="D168" s="78"/>
      <c r="E168" s="107"/>
      <c r="F168" s="99"/>
      <c r="G168" s="99"/>
      <c r="H168" s="107"/>
      <c r="I168" s="78"/>
    </row>
    <row r="169" ht="24.0" customHeight="1">
      <c r="A169" s="78"/>
      <c r="B169" s="99"/>
      <c r="C169" s="78"/>
      <c r="D169" s="78"/>
      <c r="E169" s="107"/>
      <c r="F169" s="99"/>
      <c r="G169" s="99"/>
      <c r="H169" s="107"/>
      <c r="I169" s="78"/>
    </row>
    <row r="170" ht="24.0" customHeight="1">
      <c r="A170" s="78"/>
      <c r="B170" s="99"/>
      <c r="C170" s="78"/>
      <c r="D170" s="78"/>
      <c r="E170" s="107"/>
      <c r="F170" s="99"/>
      <c r="G170" s="99"/>
      <c r="H170" s="107"/>
      <c r="I170" s="78"/>
    </row>
    <row r="171" ht="24.0" customHeight="1">
      <c r="A171" s="78"/>
      <c r="B171" s="99"/>
      <c r="C171" s="78"/>
      <c r="D171" s="78"/>
      <c r="E171" s="107"/>
      <c r="F171" s="99"/>
      <c r="G171" s="99"/>
      <c r="H171" s="107"/>
      <c r="I171" s="78"/>
    </row>
    <row r="172" ht="24.0" customHeight="1">
      <c r="A172" s="78"/>
      <c r="B172" s="99"/>
      <c r="C172" s="78"/>
      <c r="D172" s="78"/>
      <c r="E172" s="107"/>
      <c r="F172" s="99"/>
      <c r="G172" s="99"/>
      <c r="H172" s="107"/>
      <c r="I172" s="78"/>
    </row>
    <row r="173" ht="24.0" customHeight="1">
      <c r="A173" s="78"/>
      <c r="B173" s="99"/>
      <c r="C173" s="78"/>
      <c r="D173" s="78"/>
      <c r="E173" s="107"/>
      <c r="F173" s="99"/>
      <c r="G173" s="99"/>
      <c r="H173" s="107"/>
      <c r="I173" s="78"/>
    </row>
    <row r="174" ht="24.0" customHeight="1">
      <c r="A174" s="78"/>
      <c r="B174" s="99"/>
      <c r="C174" s="78"/>
      <c r="D174" s="78"/>
      <c r="E174" s="107"/>
      <c r="F174" s="99"/>
      <c r="G174" s="99"/>
      <c r="H174" s="107"/>
      <c r="I174" s="78"/>
    </row>
    <row r="175" ht="24.0" customHeight="1">
      <c r="A175" s="78"/>
      <c r="B175" s="99"/>
      <c r="C175" s="78"/>
      <c r="D175" s="78"/>
      <c r="E175" s="107"/>
      <c r="F175" s="99"/>
      <c r="G175" s="99"/>
      <c r="H175" s="107"/>
      <c r="I175" s="78"/>
    </row>
    <row r="176" ht="24.0" customHeight="1">
      <c r="A176" s="78"/>
      <c r="B176" s="99"/>
      <c r="C176" s="78"/>
      <c r="D176" s="78"/>
      <c r="E176" s="107"/>
      <c r="F176" s="99"/>
      <c r="G176" s="99"/>
      <c r="H176" s="107"/>
      <c r="I176" s="78"/>
    </row>
    <row r="177" ht="24.0" customHeight="1">
      <c r="A177" s="78"/>
      <c r="B177" s="99"/>
      <c r="C177" s="78"/>
      <c r="D177" s="78"/>
      <c r="E177" s="107"/>
      <c r="F177" s="99"/>
      <c r="G177" s="99"/>
      <c r="H177" s="107"/>
      <c r="I177" s="78"/>
    </row>
    <row r="178" ht="24.0" customHeight="1">
      <c r="A178" s="78"/>
      <c r="B178" s="99"/>
      <c r="C178" s="78"/>
      <c r="D178" s="78"/>
      <c r="E178" s="107"/>
      <c r="F178" s="99"/>
      <c r="G178" s="99"/>
      <c r="H178" s="107"/>
      <c r="I178" s="78"/>
    </row>
    <row r="179" ht="24.0" customHeight="1">
      <c r="A179" s="78"/>
      <c r="B179" s="99"/>
      <c r="C179" s="78"/>
      <c r="D179" s="78"/>
      <c r="E179" s="107"/>
      <c r="F179" s="99"/>
      <c r="G179" s="99"/>
      <c r="H179" s="107"/>
      <c r="I179" s="78"/>
    </row>
    <row r="180" ht="24.0" customHeight="1">
      <c r="A180" s="78"/>
      <c r="B180" s="99"/>
      <c r="C180" s="78"/>
      <c r="D180" s="78"/>
      <c r="E180" s="107"/>
      <c r="F180" s="99"/>
      <c r="G180" s="99"/>
      <c r="H180" s="107"/>
      <c r="I180" s="78"/>
    </row>
    <row r="181" ht="24.0" customHeight="1">
      <c r="A181" s="78"/>
      <c r="B181" s="99"/>
      <c r="C181" s="78"/>
      <c r="D181" s="78"/>
      <c r="E181" s="107"/>
      <c r="F181" s="99"/>
      <c r="G181" s="99"/>
      <c r="H181" s="107"/>
      <c r="I181" s="78"/>
    </row>
    <row r="182" ht="24.0" customHeight="1">
      <c r="A182" s="78"/>
      <c r="B182" s="99"/>
      <c r="C182" s="78"/>
      <c r="D182" s="78"/>
      <c r="E182" s="107"/>
      <c r="F182" s="99"/>
      <c r="G182" s="99"/>
      <c r="H182" s="107"/>
      <c r="I182" s="78"/>
    </row>
    <row r="183" ht="24.0" customHeight="1">
      <c r="A183" s="78"/>
      <c r="B183" s="99"/>
      <c r="C183" s="78"/>
      <c r="D183" s="78"/>
      <c r="E183" s="107"/>
      <c r="F183" s="99"/>
      <c r="G183" s="99"/>
      <c r="H183" s="107"/>
      <c r="I183" s="78"/>
    </row>
    <row r="184" ht="24.0" customHeight="1">
      <c r="A184" s="78"/>
      <c r="B184" s="99"/>
      <c r="C184" s="78"/>
      <c r="D184" s="78"/>
      <c r="E184" s="107"/>
      <c r="F184" s="99"/>
      <c r="G184" s="99"/>
      <c r="H184" s="107"/>
      <c r="I184" s="78"/>
    </row>
    <row r="185" ht="24.0" customHeight="1">
      <c r="A185" s="78"/>
      <c r="B185" s="99"/>
      <c r="C185" s="78"/>
      <c r="D185" s="78"/>
      <c r="E185" s="107"/>
      <c r="F185" s="99"/>
      <c r="G185" s="99"/>
      <c r="H185" s="107"/>
      <c r="I185" s="78"/>
    </row>
    <row r="186" ht="24.0" customHeight="1">
      <c r="A186" s="78"/>
      <c r="B186" s="99"/>
      <c r="C186" s="78"/>
      <c r="D186" s="78"/>
      <c r="E186" s="107"/>
      <c r="F186" s="99"/>
      <c r="G186" s="99"/>
      <c r="H186" s="107"/>
      <c r="I186" s="78"/>
    </row>
    <row r="187" ht="24.0" customHeight="1">
      <c r="A187" s="78"/>
      <c r="B187" s="99"/>
      <c r="C187" s="78"/>
      <c r="D187" s="78"/>
      <c r="E187" s="107"/>
      <c r="F187" s="99"/>
      <c r="G187" s="99"/>
      <c r="H187" s="107"/>
      <c r="I187" s="78"/>
    </row>
    <row r="188" ht="24.0" customHeight="1">
      <c r="A188" s="78"/>
      <c r="B188" s="99"/>
      <c r="C188" s="78"/>
      <c r="D188" s="78"/>
      <c r="E188" s="107"/>
      <c r="F188" s="99"/>
      <c r="G188" s="99"/>
      <c r="H188" s="107"/>
      <c r="I188" s="78"/>
    </row>
    <row r="189" ht="24.0" customHeight="1">
      <c r="A189" s="78"/>
      <c r="B189" s="99"/>
      <c r="C189" s="78"/>
      <c r="D189" s="78"/>
      <c r="E189" s="107"/>
      <c r="F189" s="99"/>
      <c r="G189" s="99"/>
      <c r="H189" s="107"/>
      <c r="I189" s="78"/>
    </row>
    <row r="190" ht="24.0" customHeight="1">
      <c r="A190" s="78"/>
      <c r="B190" s="99"/>
      <c r="C190" s="78"/>
      <c r="D190" s="78"/>
      <c r="E190" s="107"/>
      <c r="F190" s="99"/>
      <c r="G190" s="99"/>
      <c r="H190" s="107"/>
      <c r="I190" s="78"/>
    </row>
    <row r="191" ht="24.0" customHeight="1">
      <c r="A191" s="78"/>
      <c r="B191" s="99"/>
      <c r="C191" s="78"/>
      <c r="D191" s="78"/>
      <c r="E191" s="107"/>
      <c r="F191" s="99"/>
      <c r="G191" s="99"/>
      <c r="H191" s="107"/>
      <c r="I191" s="78"/>
    </row>
    <row r="192" ht="24.0" customHeight="1">
      <c r="A192" s="78"/>
      <c r="B192" s="99"/>
      <c r="C192" s="78"/>
      <c r="D192" s="78"/>
      <c r="E192" s="107"/>
      <c r="F192" s="99"/>
      <c r="G192" s="99"/>
      <c r="H192" s="107"/>
      <c r="I192" s="78"/>
    </row>
    <row r="193" ht="24.0" customHeight="1">
      <c r="A193" s="78"/>
      <c r="B193" s="99"/>
      <c r="C193" s="78"/>
      <c r="D193" s="78"/>
      <c r="E193" s="107"/>
      <c r="F193" s="99"/>
      <c r="G193" s="99"/>
      <c r="H193" s="107"/>
      <c r="I193" s="78"/>
    </row>
    <row r="194" ht="24.0" customHeight="1">
      <c r="A194" s="78"/>
      <c r="B194" s="99"/>
      <c r="C194" s="78"/>
      <c r="D194" s="78"/>
      <c r="E194" s="107"/>
      <c r="F194" s="99"/>
      <c r="G194" s="99"/>
      <c r="H194" s="107"/>
      <c r="I194" s="78"/>
    </row>
    <row r="195" ht="24.0" customHeight="1">
      <c r="A195" s="78"/>
      <c r="B195" s="99"/>
      <c r="C195" s="78"/>
      <c r="D195" s="78"/>
      <c r="E195" s="107"/>
      <c r="F195" s="99"/>
      <c r="G195" s="99"/>
      <c r="H195" s="107"/>
      <c r="I195" s="78"/>
    </row>
    <row r="196" ht="24.0" customHeight="1">
      <c r="A196" s="78"/>
      <c r="B196" s="99"/>
      <c r="C196" s="78"/>
      <c r="D196" s="78"/>
      <c r="E196" s="107"/>
      <c r="F196" s="99"/>
      <c r="G196" s="99"/>
      <c r="H196" s="107"/>
      <c r="I196" s="78"/>
    </row>
    <row r="197" ht="24.0" customHeight="1">
      <c r="A197" s="78"/>
      <c r="B197" s="99"/>
      <c r="C197" s="78"/>
      <c r="D197" s="78"/>
      <c r="E197" s="107"/>
      <c r="F197" s="99"/>
      <c r="G197" s="99"/>
      <c r="H197" s="107"/>
      <c r="I197" s="78"/>
    </row>
    <row r="198" ht="24.0" customHeight="1">
      <c r="A198" s="78"/>
      <c r="B198" s="99"/>
      <c r="C198" s="78"/>
      <c r="D198" s="78"/>
      <c r="E198" s="107"/>
      <c r="F198" s="99"/>
      <c r="G198" s="99"/>
      <c r="H198" s="107"/>
      <c r="I198" s="78"/>
    </row>
    <row r="199" ht="24.0" customHeight="1">
      <c r="A199" s="78"/>
      <c r="B199" s="99"/>
      <c r="C199" s="78"/>
      <c r="D199" s="78"/>
      <c r="E199" s="107"/>
      <c r="F199" s="99"/>
      <c r="G199" s="99"/>
      <c r="H199" s="107"/>
      <c r="I199" s="78"/>
    </row>
    <row r="200" ht="24.0" customHeight="1">
      <c r="A200" s="78"/>
      <c r="B200" s="99"/>
      <c r="C200" s="78"/>
      <c r="D200" s="78"/>
      <c r="E200" s="107"/>
      <c r="F200" s="99"/>
      <c r="G200" s="99"/>
      <c r="H200" s="107"/>
      <c r="I200" s="78"/>
    </row>
    <row r="201" ht="24.0" customHeight="1">
      <c r="A201" s="78"/>
      <c r="B201" s="99"/>
      <c r="C201" s="78"/>
      <c r="D201" s="78"/>
      <c r="E201" s="107"/>
      <c r="F201" s="99"/>
      <c r="G201" s="99"/>
      <c r="H201" s="107"/>
      <c r="I201" s="78"/>
    </row>
    <row r="202" ht="24.0" customHeight="1">
      <c r="A202" s="78"/>
      <c r="B202" s="99"/>
      <c r="C202" s="78"/>
      <c r="D202" s="78"/>
      <c r="E202" s="107"/>
      <c r="F202" s="99"/>
      <c r="G202" s="99"/>
      <c r="H202" s="107"/>
      <c r="I202" s="78"/>
    </row>
    <row r="203" ht="24.0" customHeight="1">
      <c r="A203" s="78"/>
      <c r="B203" s="99"/>
      <c r="C203" s="78"/>
      <c r="D203" s="78"/>
      <c r="E203" s="107"/>
      <c r="F203" s="99"/>
      <c r="G203" s="99"/>
      <c r="H203" s="107"/>
      <c r="I203" s="78"/>
    </row>
    <row r="204" ht="24.0" customHeight="1">
      <c r="A204" s="78"/>
      <c r="B204" s="99"/>
      <c r="C204" s="78"/>
      <c r="D204" s="78"/>
      <c r="E204" s="107"/>
      <c r="F204" s="99"/>
      <c r="G204" s="99"/>
      <c r="H204" s="107"/>
      <c r="I204" s="78"/>
    </row>
    <row r="205" ht="24.0" customHeight="1">
      <c r="A205" s="78"/>
      <c r="B205" s="99"/>
      <c r="C205" s="78"/>
      <c r="D205" s="78"/>
      <c r="E205" s="107"/>
      <c r="F205" s="99"/>
      <c r="G205" s="99"/>
      <c r="H205" s="107"/>
      <c r="I205" s="7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B3"/>
  </mergeCells>
  <conditionalFormatting sqref="G6:G205">
    <cfRule type="containsText" dxfId="5" priority="1" operator="containsText" text="Submitted">
      <formula>NOT(ISERROR(SEARCH(("Submitted"),(G6))))</formula>
    </cfRule>
  </conditionalFormatting>
  <conditionalFormatting sqref="G6:G205">
    <cfRule type="containsText" dxfId="6" priority="2" operator="containsText" text="Ready">
      <formula>NOT(ISERROR(SEARCH(("Ready"),(G6))))</formula>
    </cfRule>
  </conditionalFormatting>
  <conditionalFormatting sqref="G6:G205">
    <cfRule type="containsText" dxfId="6" priority="3" operator="containsText" text="Admitted">
      <formula>NOT(ISERROR(SEARCH(("Admitted"),(G6))))</formula>
    </cfRule>
  </conditionalFormatting>
  <conditionalFormatting sqref="G6:G205">
    <cfRule type="containsText" dxfId="6" priority="4" operator="containsText" text="Awarded">
      <formula>NOT(ISERROR(SEARCH(("Awarded"),(G6))))</formula>
    </cfRule>
  </conditionalFormatting>
  <conditionalFormatting sqref="G6:G205">
    <cfRule type="containsText" dxfId="6" priority="5" operator="containsText" text="Completed">
      <formula>NOT(ISERROR(SEARCH(("Completed"),(G6))))</formula>
    </cfRule>
  </conditionalFormatting>
  <conditionalFormatting sqref="G6:G205">
    <cfRule type="containsText" dxfId="6" priority="6" operator="containsText" text="Done">
      <formula>NOT(ISERROR(SEARCH(("Done"),(G6))))</formula>
    </cfRule>
  </conditionalFormatting>
  <conditionalFormatting sqref="G6:G205">
    <cfRule type="containsText" dxfId="6" priority="7" operator="containsText" text="Final">
      <formula>NOT(ISERROR(SEARCH(("Final"),(G6))))</formula>
    </cfRule>
  </conditionalFormatting>
  <conditionalFormatting sqref="G6:G205">
    <cfRule type="containsText" dxfId="7" priority="8" operator="containsText" text="Preparing">
      <formula>NOT(ISERROR(SEARCH(("Preparing"),(G6))))</formula>
    </cfRule>
  </conditionalFormatting>
  <conditionalFormatting sqref="G6:G205">
    <cfRule type="containsText" dxfId="7" priority="9" operator="containsText" text="In Progress">
      <formula>NOT(ISERROR(SEARCH(("In Progress"),(G6))))</formula>
    </cfRule>
  </conditionalFormatting>
  <conditionalFormatting sqref="G6:G205">
    <cfRule type="containsText" dxfId="7" priority="10" operator="containsText" text="Shortlisted">
      <formula>NOT(ISERROR(SEARCH(("Shortlisted"),(G6))))</formula>
    </cfRule>
  </conditionalFormatting>
  <conditionalFormatting sqref="G6:G205">
    <cfRule type="containsText" dxfId="8" priority="11" operator="containsText" text="Researching">
      <formula>NOT(ISERROR(SEARCH(("Researching"),(G6))))</formula>
    </cfRule>
  </conditionalFormatting>
  <conditionalFormatting sqref="G6:G205">
    <cfRule type="containsText" dxfId="8" priority="12" operator="containsText" text="Exploring">
      <formula>NOT(ISERROR(SEARCH(("Exploring"),(G6))))</formula>
    </cfRule>
  </conditionalFormatting>
  <conditionalFormatting sqref="G6:G205">
    <cfRule type="containsText" dxfId="9" priority="13" operator="containsText" text="Needs Verification">
      <formula>NOT(ISERROR(SEARCH(("Needs Verification"),(G6))))</formula>
    </cfRule>
  </conditionalFormatting>
  <conditionalFormatting sqref="G6:G205">
    <cfRule type="containsText" dxfId="10" priority="14" operator="containsText" text="Overdue">
      <formula>NOT(ISERROR(SEARCH(("Overdue"),(G6))))</formula>
    </cfRule>
  </conditionalFormatting>
  <conditionalFormatting sqref="G6:G205">
    <cfRule type="containsText" dxfId="10" priority="15" operator="containsText" text="Rejected">
      <formula>NOT(ISERROR(SEARCH(("Rejected"),(G6))))</formula>
    </cfRule>
  </conditionalFormatting>
  <conditionalFormatting sqref="G6:G205">
    <cfRule type="containsText" dxfId="10" priority="16" operator="containsText" text="Blocked">
      <formula>NOT(ISERROR(SEARCH(("Blocked"),(G6))))</formula>
    </cfRule>
  </conditionalFormatting>
  <conditionalFormatting sqref="E6:E205">
    <cfRule type="expression" dxfId="10" priority="17">
      <formula>AND(E6&lt;&gt;"",E6&lt;TODAY())</formula>
    </cfRule>
  </conditionalFormatting>
  <conditionalFormatting sqref="E6:E205">
    <cfRule type="expression" dxfId="9" priority="18">
      <formula>AND(E6&gt;=TODAY(),E6&lt;=TODAY()+7)</formula>
    </cfRule>
  </conditionalFormatting>
  <dataValidations>
    <dataValidation type="list" allowBlank="1" sqref="F6:F205">
      <formula1>"In App,Web Push,Email"</formula1>
    </dataValidation>
    <dataValidation type="list" allowBlank="1" sqref="G6:G205">
      <formula1>"Scheduled,Sent,Cancelled,Failed"</formula1>
    </dataValidation>
    <dataValidation allowBlank="1" showDropDown="1" sqref="A6:A205 C6:D205 I6:I205"/>
    <dataValidation type="list" allowBlank="1" sqref="B6:B205">
      <formula1>"Deadline,Task,Recommendation,Custom"</formula1>
    </dataValidation>
    <dataValidation type="custom" allowBlank="1" showDropDown="1" sqref="E6:E205 H6:H205">
      <formula1>OR(NOT(ISERROR(DATEVALUE(E6))), AND(ISNUMBER(E6), LEFT(CELL("format", E6))="D"))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88"/>
    <col customWidth="1" min="2" max="2" width="10.75"/>
    <col customWidth="1" min="3" max="5" width="18.25"/>
    <col customWidth="1" min="6" max="6" width="15.75"/>
    <col customWidth="1" min="7" max="7" width="17.63"/>
    <col customWidth="1" min="8" max="15" width="18.0"/>
    <col customWidth="1" min="16" max="16" width="27.63"/>
    <col customWidth="1" min="17" max="17" width="11.38"/>
    <col customWidth="1" min="18" max="18" width="30.75"/>
    <col customWidth="1" min="19" max="26" width="8.63"/>
  </cols>
  <sheetData>
    <row r="1" ht="24.0" customHeight="1">
      <c r="A1" s="1" t="s">
        <v>63</v>
      </c>
    </row>
    <row r="2" ht="24.0" customHeight="1">
      <c r="A2" s="2" t="s">
        <v>415</v>
      </c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4.0" customHeight="1">
      <c r="A4" s="63" t="s">
        <v>416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4.0" customHeight="1">
      <c r="A5" s="21" t="s">
        <v>417</v>
      </c>
      <c r="B5" s="23" t="s">
        <v>418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24.0" customHeight="1">
      <c r="A6" s="21" t="s">
        <v>419</v>
      </c>
      <c r="B6" s="23">
        <v>2027.0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24.0" customHeight="1">
      <c r="A7" s="21" t="s">
        <v>420</v>
      </c>
      <c r="B7" s="23" t="s">
        <v>421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24.0" customHeight="1">
      <c r="A8" s="21" t="s">
        <v>422</v>
      </c>
      <c r="B8" s="23" t="s">
        <v>423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24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24.0" customHeight="1">
      <c r="A10" s="111" t="s">
        <v>424</v>
      </c>
      <c r="H10" s="3"/>
      <c r="I10" s="3"/>
      <c r="J10" s="3"/>
      <c r="K10" s="3"/>
      <c r="L10" s="3"/>
      <c r="M10" s="3"/>
      <c r="N10" s="3"/>
      <c r="O10" s="3"/>
    </row>
    <row r="11" ht="24.0" customHeight="1">
      <c r="A11" s="112" t="s">
        <v>425</v>
      </c>
      <c r="B11" s="112" t="s">
        <v>426</v>
      </c>
      <c r="C11" s="112" t="s">
        <v>427</v>
      </c>
      <c r="D11" s="112" t="s">
        <v>428</v>
      </c>
      <c r="E11" s="112" t="s">
        <v>429</v>
      </c>
      <c r="F11" s="112" t="s">
        <v>430</v>
      </c>
      <c r="G11" s="112" t="s">
        <v>431</v>
      </c>
      <c r="H11" s="3"/>
      <c r="I11" s="3"/>
      <c r="J11" s="3"/>
      <c r="K11" s="3"/>
      <c r="L11" s="3"/>
      <c r="M11" s="3"/>
      <c r="N11" s="3"/>
      <c r="O11" s="3"/>
    </row>
    <row r="12" ht="24.0" customHeight="1">
      <c r="A12" s="23">
        <v>20.0</v>
      </c>
      <c r="B12" s="23">
        <v>30.0</v>
      </c>
      <c r="C12" s="23">
        <v>25.0</v>
      </c>
      <c r="D12" s="23">
        <v>15.0</v>
      </c>
      <c r="E12" s="23">
        <v>10.0</v>
      </c>
      <c r="F12" s="25">
        <f>SUM(A12:E12)</f>
        <v>100</v>
      </c>
      <c r="G12" s="22" t="s">
        <v>432</v>
      </c>
      <c r="H12" s="3"/>
      <c r="I12" s="3"/>
      <c r="J12" s="3"/>
      <c r="K12" s="3"/>
      <c r="L12" s="3"/>
      <c r="M12" s="3"/>
      <c r="N12" s="3"/>
      <c r="O12" s="3"/>
    </row>
    <row r="13" ht="24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24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24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24.0" customHeight="1">
      <c r="A16" s="113" t="s">
        <v>433</v>
      </c>
      <c r="B16" s="113" t="s">
        <v>434</v>
      </c>
      <c r="C16" s="113" t="s">
        <v>435</v>
      </c>
      <c r="D16" s="113" t="s">
        <v>436</v>
      </c>
      <c r="E16" s="113" t="s">
        <v>437</v>
      </c>
      <c r="F16" s="113" t="s">
        <v>438</v>
      </c>
      <c r="G16" s="113" t="s">
        <v>439</v>
      </c>
      <c r="H16" s="113" t="s">
        <v>73</v>
      </c>
      <c r="I16" s="113" t="s">
        <v>79</v>
      </c>
      <c r="J16" s="113" t="s">
        <v>440</v>
      </c>
      <c r="K16" s="113" t="s">
        <v>153</v>
      </c>
      <c r="L16" s="113" t="s">
        <v>441</v>
      </c>
      <c r="M16" s="113" t="s">
        <v>442</v>
      </c>
      <c r="N16" s="113" t="s">
        <v>443</v>
      </c>
      <c r="O16" s="113" t="s">
        <v>64</v>
      </c>
      <c r="P16" s="114" t="s">
        <v>66</v>
      </c>
      <c r="Q16" s="114" t="s">
        <v>71</v>
      </c>
      <c r="R16" s="114" t="s">
        <v>444</v>
      </c>
    </row>
    <row r="17" ht="24.0" customHeight="1">
      <c r="A17" s="22" t="s">
        <v>445</v>
      </c>
      <c r="B17" s="22" t="s">
        <v>103</v>
      </c>
      <c r="C17" s="22" t="s">
        <v>103</v>
      </c>
      <c r="D17" s="22" t="s">
        <v>315</v>
      </c>
      <c r="E17" s="22" t="s">
        <v>446</v>
      </c>
      <c r="F17" s="22" t="s">
        <v>345</v>
      </c>
      <c r="G17" s="22" t="s">
        <v>364</v>
      </c>
      <c r="H17" s="22">
        <v>1.0</v>
      </c>
      <c r="I17" s="22" t="s">
        <v>198</v>
      </c>
      <c r="J17" s="22" t="s">
        <v>364</v>
      </c>
      <c r="K17" s="22" t="s">
        <v>183</v>
      </c>
      <c r="L17" s="22" t="s">
        <v>60</v>
      </c>
      <c r="M17" s="22" t="s">
        <v>412</v>
      </c>
      <c r="N17" s="22" t="s">
        <v>73</v>
      </c>
      <c r="O17" s="22" t="s">
        <v>110</v>
      </c>
      <c r="P17" s="115" t="s">
        <v>92</v>
      </c>
      <c r="Q17" s="115" t="s">
        <v>447</v>
      </c>
      <c r="R17" s="115" t="s">
        <v>448</v>
      </c>
    </row>
    <row r="18" ht="24.0" customHeight="1">
      <c r="A18" s="22" t="s">
        <v>113</v>
      </c>
      <c r="B18" s="22" t="s">
        <v>113</v>
      </c>
      <c r="C18" s="22" t="s">
        <v>449</v>
      </c>
      <c r="D18" s="22" t="s">
        <v>450</v>
      </c>
      <c r="E18" s="22" t="s">
        <v>451</v>
      </c>
      <c r="F18" s="22" t="s">
        <v>452</v>
      </c>
      <c r="G18" s="22" t="s">
        <v>356</v>
      </c>
      <c r="H18" s="22">
        <v>2.0</v>
      </c>
      <c r="I18" s="22" t="s">
        <v>102</v>
      </c>
      <c r="J18" s="22" t="s">
        <v>182</v>
      </c>
      <c r="K18" s="22" t="s">
        <v>453</v>
      </c>
      <c r="L18" s="22" t="s">
        <v>55</v>
      </c>
      <c r="M18" s="22" t="s">
        <v>454</v>
      </c>
      <c r="N18" s="22" t="s">
        <v>249</v>
      </c>
      <c r="O18" s="22" t="s">
        <v>455</v>
      </c>
      <c r="P18" s="115" t="s">
        <v>456</v>
      </c>
      <c r="Q18" s="115" t="s">
        <v>97</v>
      </c>
      <c r="R18" s="115" t="s">
        <v>457</v>
      </c>
    </row>
    <row r="19" ht="24.0" customHeight="1">
      <c r="A19" s="22" t="s">
        <v>458</v>
      </c>
      <c r="B19" s="22" t="s">
        <v>114</v>
      </c>
      <c r="C19" s="22" t="s">
        <v>114</v>
      </c>
      <c r="D19" s="22" t="s">
        <v>459</v>
      </c>
      <c r="E19" s="22" t="s">
        <v>331</v>
      </c>
      <c r="F19" s="22" t="s">
        <v>460</v>
      </c>
      <c r="G19" s="22" t="s">
        <v>461</v>
      </c>
      <c r="H19" s="22">
        <v>3.0</v>
      </c>
      <c r="I19" s="22" t="s">
        <v>449</v>
      </c>
      <c r="J19" s="22" t="s">
        <v>462</v>
      </c>
      <c r="K19" s="22" t="s">
        <v>463</v>
      </c>
      <c r="L19" s="22" t="s">
        <v>252</v>
      </c>
      <c r="M19" s="22" t="s">
        <v>353</v>
      </c>
      <c r="N19" s="22" t="s">
        <v>464</v>
      </c>
      <c r="O19" s="22" t="s">
        <v>465</v>
      </c>
      <c r="P19" s="115" t="s">
        <v>123</v>
      </c>
      <c r="Q19" s="115" t="s">
        <v>466</v>
      </c>
      <c r="R19" s="115" t="s">
        <v>209</v>
      </c>
    </row>
    <row r="20" ht="24.0" customHeight="1">
      <c r="A20" s="22" t="s">
        <v>467</v>
      </c>
      <c r="B20" s="22" t="s">
        <v>115</v>
      </c>
      <c r="C20" s="22" t="s">
        <v>468</v>
      </c>
      <c r="D20" s="22" t="s">
        <v>469</v>
      </c>
      <c r="E20" s="22" t="s">
        <v>115</v>
      </c>
      <c r="F20" s="22" t="s">
        <v>470</v>
      </c>
      <c r="G20" s="22" t="s">
        <v>116</v>
      </c>
      <c r="H20" s="22">
        <v>4.0</v>
      </c>
      <c r="I20" s="22" t="s">
        <v>471</v>
      </c>
      <c r="J20" s="22" t="s">
        <v>472</v>
      </c>
      <c r="K20" s="22" t="s">
        <v>473</v>
      </c>
      <c r="L20" s="22" t="s">
        <v>474</v>
      </c>
      <c r="M20" s="22"/>
      <c r="N20" s="22" t="s">
        <v>320</v>
      </c>
      <c r="O20" s="22" t="s">
        <v>475</v>
      </c>
      <c r="P20" s="115" t="s">
        <v>476</v>
      </c>
      <c r="Q20" s="115" t="s">
        <v>477</v>
      </c>
      <c r="R20" s="115" t="s">
        <v>478</v>
      </c>
    </row>
    <row r="21" ht="24.0" customHeight="1">
      <c r="A21" s="22" t="s">
        <v>479</v>
      </c>
      <c r="B21" s="22" t="s">
        <v>116</v>
      </c>
      <c r="C21" s="22" t="s">
        <v>116</v>
      </c>
      <c r="D21" s="22" t="s">
        <v>480</v>
      </c>
      <c r="E21" s="22" t="s">
        <v>481</v>
      </c>
      <c r="F21" s="22" t="s">
        <v>249</v>
      </c>
      <c r="G21" s="22" t="s">
        <v>482</v>
      </c>
      <c r="H21" s="22">
        <v>5.0</v>
      </c>
      <c r="I21" s="22" t="s">
        <v>483</v>
      </c>
      <c r="J21" s="22" t="s">
        <v>484</v>
      </c>
      <c r="K21" s="22" t="s">
        <v>485</v>
      </c>
      <c r="L21" s="22" t="s">
        <v>311</v>
      </c>
      <c r="M21" s="22"/>
      <c r="N21" s="22" t="s">
        <v>486</v>
      </c>
      <c r="O21" s="22" t="s">
        <v>487</v>
      </c>
      <c r="P21" s="115" t="s">
        <v>488</v>
      </c>
      <c r="Q21" s="115" t="s">
        <v>489</v>
      </c>
      <c r="R21" s="115" t="s">
        <v>166</v>
      </c>
    </row>
    <row r="22" ht="24.0" customHeight="1">
      <c r="A22" s="22" t="s">
        <v>490</v>
      </c>
      <c r="B22" s="22" t="s">
        <v>491</v>
      </c>
      <c r="C22" s="22" t="s">
        <v>491</v>
      </c>
      <c r="D22" s="22"/>
      <c r="E22" s="22" t="s">
        <v>490</v>
      </c>
      <c r="F22" s="22"/>
      <c r="G22" s="22" t="s">
        <v>129</v>
      </c>
      <c r="H22" s="22"/>
      <c r="I22" s="22"/>
      <c r="J22" s="22"/>
      <c r="K22" s="22" t="s">
        <v>492</v>
      </c>
      <c r="L22" s="22" t="s">
        <v>320</v>
      </c>
      <c r="M22" s="22"/>
      <c r="N22" s="22" t="s">
        <v>491</v>
      </c>
      <c r="O22" s="22"/>
      <c r="P22" s="115" t="s">
        <v>493</v>
      </c>
      <c r="Q22" s="115" t="s">
        <v>494</v>
      </c>
      <c r="R22" s="115" t="s">
        <v>495</v>
      </c>
    </row>
    <row r="23" ht="24.0" customHeight="1">
      <c r="A23" s="22"/>
      <c r="B23" s="22" t="s">
        <v>463</v>
      </c>
      <c r="C23" s="22" t="s">
        <v>496</v>
      </c>
      <c r="D23" s="22"/>
      <c r="E23" s="22"/>
      <c r="F23" s="22"/>
      <c r="G23" s="22"/>
      <c r="H23" s="22"/>
      <c r="I23" s="22"/>
      <c r="J23" s="22"/>
      <c r="K23" s="22" t="s">
        <v>497</v>
      </c>
      <c r="L23" s="22" t="s">
        <v>498</v>
      </c>
      <c r="M23" s="22"/>
      <c r="N23" s="22" t="s">
        <v>153</v>
      </c>
      <c r="O23" s="22"/>
      <c r="P23" s="115" t="s">
        <v>499</v>
      </c>
      <c r="Q23" s="115" t="s">
        <v>500</v>
      </c>
      <c r="R23" s="115" t="s">
        <v>501</v>
      </c>
    </row>
    <row r="24" ht="24.0" customHeight="1">
      <c r="A24" s="22"/>
      <c r="B24" s="22" t="s">
        <v>453</v>
      </c>
      <c r="C24" s="22" t="s">
        <v>502</v>
      </c>
      <c r="D24" s="22"/>
      <c r="E24" s="22"/>
      <c r="F24" s="22"/>
      <c r="G24" s="22"/>
      <c r="H24" s="22"/>
      <c r="I24" s="22"/>
      <c r="J24" s="22"/>
      <c r="K24" s="22"/>
      <c r="L24" s="22" t="s">
        <v>503</v>
      </c>
      <c r="M24" s="22"/>
      <c r="N24" s="22" t="s">
        <v>504</v>
      </c>
      <c r="O24" s="22"/>
      <c r="P24" s="115" t="s">
        <v>505</v>
      </c>
      <c r="Q24" s="115" t="s">
        <v>506</v>
      </c>
      <c r="R24" s="115" t="s">
        <v>125</v>
      </c>
    </row>
    <row r="25" ht="24.0" customHeight="1">
      <c r="A25" s="22"/>
      <c r="B25" s="22" t="s">
        <v>473</v>
      </c>
      <c r="C25" s="22" t="s">
        <v>473</v>
      </c>
      <c r="D25" s="22"/>
      <c r="E25" s="22"/>
      <c r="F25" s="22"/>
      <c r="G25" s="22"/>
      <c r="H25" s="22"/>
      <c r="I25" s="22"/>
      <c r="J25" s="22"/>
      <c r="K25" s="22"/>
      <c r="L25" s="22" t="s">
        <v>507</v>
      </c>
      <c r="M25" s="22"/>
      <c r="N25" s="22" t="s">
        <v>508</v>
      </c>
      <c r="O25" s="22"/>
      <c r="P25" s="115" t="s">
        <v>509</v>
      </c>
      <c r="Q25" s="115" t="s">
        <v>510</v>
      </c>
      <c r="R25" s="115" t="s">
        <v>511</v>
      </c>
    </row>
    <row r="26" ht="24.0" customHeight="1">
      <c r="A26" s="22"/>
      <c r="B26" s="22" t="s">
        <v>497</v>
      </c>
      <c r="C26" s="22" t="s">
        <v>497</v>
      </c>
      <c r="D26" s="22"/>
      <c r="E26" s="22"/>
      <c r="F26" s="22"/>
      <c r="G26" s="22"/>
      <c r="H26" s="22"/>
      <c r="I26" s="22"/>
      <c r="J26" s="22"/>
      <c r="K26" s="22"/>
      <c r="L26" s="22" t="s">
        <v>512</v>
      </c>
      <c r="M26" s="22"/>
      <c r="N26" s="22"/>
      <c r="O26" s="22"/>
      <c r="P26" s="115" t="s">
        <v>487</v>
      </c>
      <c r="Q26" s="115" t="s">
        <v>513</v>
      </c>
      <c r="R26" s="115" t="s">
        <v>514</v>
      </c>
    </row>
    <row r="27" ht="24.0" customHeight="1">
      <c r="A27" s="22"/>
      <c r="B27" s="22" t="s">
        <v>485</v>
      </c>
      <c r="C27" s="22" t="s">
        <v>515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115" t="s">
        <v>516</v>
      </c>
      <c r="R27" s="115" t="s">
        <v>517</v>
      </c>
    </row>
    <row r="28" ht="24.0" customHeight="1">
      <c r="A28" s="22"/>
      <c r="B28" s="22" t="s">
        <v>492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115" t="s">
        <v>518</v>
      </c>
      <c r="R28" s="115" t="s">
        <v>94</v>
      </c>
    </row>
    <row r="29" ht="24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Q29" s="115" t="s">
        <v>519</v>
      </c>
      <c r="R29" s="115" t="s">
        <v>520</v>
      </c>
    </row>
    <row r="30" ht="24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115" t="s">
        <v>521</v>
      </c>
      <c r="R30" s="115" t="s">
        <v>271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Q31" s="115" t="s">
        <v>522</v>
      </c>
      <c r="R31" s="115" t="s">
        <v>523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Q32" s="22"/>
      <c r="R32" s="115" t="s">
        <v>524</v>
      </c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Q33" s="22"/>
      <c r="R33" s="115" t="s">
        <v>525</v>
      </c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Q34" s="22"/>
      <c r="R34" s="115" t="s">
        <v>526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A36" s="116" t="s">
        <v>527</v>
      </c>
      <c r="H36" s="3"/>
      <c r="I36" s="3"/>
      <c r="J36" s="3"/>
      <c r="K36" s="3"/>
      <c r="L36" s="3"/>
      <c r="M36" s="3"/>
      <c r="N36" s="3"/>
      <c r="O36" s="3"/>
    </row>
    <row r="37" ht="15.75" customHeight="1">
      <c r="A37" s="117" t="s">
        <v>71</v>
      </c>
      <c r="B37" s="117" t="s">
        <v>528</v>
      </c>
      <c r="C37" s="117" t="s">
        <v>529</v>
      </c>
      <c r="D37" s="117" t="s">
        <v>530</v>
      </c>
      <c r="E37" s="117" t="s">
        <v>531</v>
      </c>
      <c r="F37" s="117" t="s">
        <v>532</v>
      </c>
      <c r="G37" s="117" t="s">
        <v>533</v>
      </c>
      <c r="H37" s="3"/>
      <c r="I37" s="3"/>
      <c r="J37" s="3"/>
      <c r="K37" s="3"/>
      <c r="L37" s="3"/>
      <c r="M37" s="3"/>
      <c r="N37" s="3"/>
      <c r="O37" s="3"/>
    </row>
    <row r="38" ht="15.75" customHeight="1">
      <c r="A38" s="115" t="s">
        <v>447</v>
      </c>
      <c r="B38" s="115" t="s">
        <v>534</v>
      </c>
      <c r="C38" s="118">
        <v>1.0</v>
      </c>
      <c r="D38" s="119"/>
      <c r="E38" s="120">
        <f t="shared" ref="E38:E52" si="1">IF(D38&lt;&gt;"",D38,C38)</f>
        <v>1</v>
      </c>
      <c r="F38" s="22" t="str">
        <f t="shared" ref="F38:F52" si="2">IF(D38&lt;&gt;"","Manual override",IF(C38&lt;&gt;"","GOOGLEFINANCE","Needs rate"))</f>
        <v>GOOGLEFINANCE</v>
      </c>
      <c r="G38" s="121"/>
      <c r="H38" s="3"/>
      <c r="I38" s="3"/>
      <c r="J38" s="3"/>
      <c r="K38" s="3"/>
      <c r="L38" s="3"/>
      <c r="M38" s="3"/>
      <c r="N38" s="3"/>
      <c r="O38" s="3"/>
    </row>
    <row r="39" ht="15.75" customHeight="1">
      <c r="A39" s="115" t="s">
        <v>97</v>
      </c>
      <c r="B39" s="115" t="s">
        <v>535</v>
      </c>
      <c r="C39" s="122">
        <f>IFERROR(__xludf.DUMMYFUNCTION("IFERROR(GOOGLEFINANCE(""CURRENCY:""&amp;A39&amp;""GHS""),"""")"),13.018)</f>
        <v>13.018</v>
      </c>
      <c r="D39" s="119"/>
      <c r="E39" s="120">
        <f t="shared" si="1"/>
        <v>13.018</v>
      </c>
      <c r="F39" s="22" t="str">
        <f t="shared" si="2"/>
        <v>GOOGLEFINANCE</v>
      </c>
      <c r="G39" s="121"/>
      <c r="H39" s="3"/>
      <c r="I39" s="3"/>
      <c r="J39" s="3"/>
      <c r="K39" s="3"/>
      <c r="L39" s="3"/>
      <c r="M39" s="3"/>
      <c r="N39" s="3"/>
      <c r="O39" s="3"/>
    </row>
    <row r="40" ht="15.75" customHeight="1">
      <c r="A40" s="115" t="s">
        <v>466</v>
      </c>
      <c r="B40" s="115" t="s">
        <v>536</v>
      </c>
      <c r="C40" s="122">
        <f>IFERROR(__xludf.DUMMYFUNCTION("IFERROR(GOOGLEFINANCE(""CURRENCY:""&amp;A40&amp;""GHS""),"""")"),11.137440000000002)</f>
        <v>11.13744</v>
      </c>
      <c r="D40" s="119"/>
      <c r="E40" s="120">
        <f t="shared" si="1"/>
        <v>11.13744</v>
      </c>
      <c r="F40" s="22" t="str">
        <f t="shared" si="2"/>
        <v>GOOGLEFINANCE</v>
      </c>
      <c r="G40" s="121"/>
      <c r="H40" s="3"/>
      <c r="I40" s="3"/>
      <c r="J40" s="3"/>
      <c r="K40" s="3"/>
      <c r="L40" s="3"/>
      <c r="M40" s="3"/>
      <c r="N40" s="3"/>
      <c r="O40" s="3"/>
    </row>
    <row r="41" ht="15.75" customHeight="1">
      <c r="A41" s="115" t="s">
        <v>477</v>
      </c>
      <c r="B41" s="115" t="s">
        <v>537</v>
      </c>
      <c r="C41" s="122">
        <f>IFERROR(__xludf.DUMMYFUNCTION("IFERROR(GOOGLEFINANCE(""CURRENCY:""&amp;A41&amp;""GHS""),"""")"),15.182760000000002)</f>
        <v>15.18276</v>
      </c>
      <c r="D41" s="119"/>
      <c r="E41" s="120">
        <f t="shared" si="1"/>
        <v>15.18276</v>
      </c>
      <c r="F41" s="22" t="str">
        <f t="shared" si="2"/>
        <v>GOOGLEFINANCE</v>
      </c>
      <c r="G41" s="121"/>
      <c r="H41" s="3"/>
      <c r="I41" s="3"/>
      <c r="J41" s="3"/>
      <c r="K41" s="3"/>
      <c r="L41" s="3"/>
      <c r="M41" s="3"/>
      <c r="N41" s="3"/>
      <c r="O41" s="3"/>
    </row>
    <row r="42" ht="15.75" customHeight="1">
      <c r="A42" s="115" t="s">
        <v>489</v>
      </c>
      <c r="B42" s="115" t="s">
        <v>489</v>
      </c>
      <c r="C42" s="122">
        <f>IFERROR(__xludf.DUMMYFUNCTION("IFERROR(GOOGLEFINANCE(""CURRENCY:""&amp;A42&amp;""GHS""),"""")"),13.85189845)</f>
        <v>13.85189845</v>
      </c>
      <c r="D42" s="119"/>
      <c r="E42" s="120">
        <f t="shared" si="1"/>
        <v>13.85189845</v>
      </c>
      <c r="F42" s="22" t="str">
        <f t="shared" si="2"/>
        <v>GOOGLEFINANCE</v>
      </c>
      <c r="G42" s="121"/>
      <c r="H42" s="3"/>
      <c r="I42" s="3"/>
      <c r="J42" s="3"/>
      <c r="K42" s="3"/>
      <c r="L42" s="3"/>
      <c r="M42" s="3"/>
      <c r="N42" s="3"/>
      <c r="O42" s="3"/>
    </row>
    <row r="43" ht="15.75" customHeight="1">
      <c r="A43" s="115" t="s">
        <v>494</v>
      </c>
      <c r="B43" s="115" t="s">
        <v>538</v>
      </c>
      <c r="C43" s="122">
        <f>IFERROR(__xludf.DUMMYFUNCTION("IFERROR(GOOGLEFINANCE(""CURRENCY:""&amp;A43&amp;""GHS""),"""")"),8.05895409)</f>
        <v>8.05895409</v>
      </c>
      <c r="D43" s="119"/>
      <c r="E43" s="120">
        <f t="shared" si="1"/>
        <v>8.05895409</v>
      </c>
      <c r="F43" s="22" t="str">
        <f t="shared" si="2"/>
        <v>GOOGLEFINANCE</v>
      </c>
      <c r="G43" s="121"/>
      <c r="H43" s="3"/>
      <c r="I43" s="3"/>
      <c r="J43" s="3"/>
      <c r="K43" s="3"/>
      <c r="L43" s="3"/>
      <c r="M43" s="3"/>
      <c r="N43" s="3"/>
      <c r="O43" s="3"/>
    </row>
    <row r="44" ht="15.75" customHeight="1">
      <c r="A44" s="115" t="s">
        <v>500</v>
      </c>
      <c r="B44" s="115" t="s">
        <v>539</v>
      </c>
      <c r="C44" s="122">
        <f>IFERROR(__xludf.DUMMYFUNCTION("IFERROR(GOOGLEFINANCE(""CURRENCY:""&amp;A44&amp;""GHS""),"""")"),1.65098736)</f>
        <v>1.65098736</v>
      </c>
      <c r="D44" s="119"/>
      <c r="E44" s="120">
        <f t="shared" si="1"/>
        <v>1.65098736</v>
      </c>
      <c r="F44" s="22" t="str">
        <f t="shared" si="2"/>
        <v>GOOGLEFINANCE</v>
      </c>
      <c r="G44" s="121"/>
      <c r="H44" s="3"/>
      <c r="I44" s="3"/>
      <c r="J44" s="3"/>
      <c r="K44" s="3"/>
      <c r="L44" s="3"/>
      <c r="M44" s="3"/>
      <c r="N44" s="3"/>
      <c r="O44" s="3"/>
    </row>
    <row r="45" ht="15.75" customHeight="1">
      <c r="A45" s="115" t="s">
        <v>506</v>
      </c>
      <c r="B45" s="115" t="s">
        <v>540</v>
      </c>
      <c r="C45" s="122">
        <f>IFERROR(__xludf.DUMMYFUNCTION("IFERROR(GOOGLEFINANCE(""CURRENCY:""&amp;A45&amp;""GHS""),"""")"),0.06983042190000001)</f>
        <v>0.0698304219</v>
      </c>
      <c r="D45" s="119"/>
      <c r="E45" s="120">
        <f t="shared" si="1"/>
        <v>0.0698304219</v>
      </c>
      <c r="F45" s="22" t="str">
        <f t="shared" si="2"/>
        <v>GOOGLEFINANCE</v>
      </c>
      <c r="G45" s="121"/>
      <c r="H45" s="3"/>
      <c r="I45" s="3"/>
      <c r="J45" s="3"/>
      <c r="K45" s="3"/>
      <c r="L45" s="3"/>
      <c r="M45" s="3"/>
      <c r="N45" s="3"/>
      <c r="O45" s="3"/>
    </row>
    <row r="46" ht="15.75" customHeight="1">
      <c r="A46" s="115" t="s">
        <v>510</v>
      </c>
      <c r="B46" s="115" t="s">
        <v>541</v>
      </c>
      <c r="C46" s="122">
        <f>IFERROR(__xludf.DUMMYFUNCTION("IFERROR(GOOGLEFINANCE(""CURRENCY:""&amp;A46&amp;""GHS""),"""")"),0.0198243669)</f>
        <v>0.0198243669</v>
      </c>
      <c r="D46" s="119"/>
      <c r="E46" s="120">
        <f t="shared" si="1"/>
        <v>0.0198243669</v>
      </c>
      <c r="F46" s="22" t="str">
        <f t="shared" si="2"/>
        <v>GOOGLEFINANCE</v>
      </c>
      <c r="G46" s="121"/>
      <c r="H46" s="3"/>
      <c r="I46" s="3"/>
      <c r="J46" s="3"/>
      <c r="K46" s="3"/>
      <c r="L46" s="3"/>
      <c r="M46" s="3"/>
      <c r="N46" s="3"/>
      <c r="O46" s="3"/>
    </row>
    <row r="47" ht="15.75" customHeight="1">
      <c r="A47" s="115" t="s">
        <v>513</v>
      </c>
      <c r="B47" s="115" t="s">
        <v>542</v>
      </c>
      <c r="C47" s="122">
        <f>IFERROR(__xludf.DUMMYFUNCTION("IFERROR(GOOGLEFINANCE(""CURRENCY:""&amp;A47&amp;""GHS""),"""")"),1.17112821)</f>
        <v>1.17112821</v>
      </c>
      <c r="D47" s="119"/>
      <c r="E47" s="120">
        <f t="shared" si="1"/>
        <v>1.17112821</v>
      </c>
      <c r="F47" s="22" t="str">
        <f t="shared" si="2"/>
        <v>GOOGLEFINANCE</v>
      </c>
      <c r="G47" s="121"/>
      <c r="H47" s="3"/>
      <c r="I47" s="3"/>
      <c r="J47" s="3"/>
      <c r="K47" s="3"/>
      <c r="L47" s="3"/>
      <c r="M47" s="3"/>
      <c r="N47" s="3"/>
      <c r="O47" s="3"/>
    </row>
    <row r="48" ht="15.75" customHeight="1">
      <c r="A48" s="115" t="s">
        <v>516</v>
      </c>
      <c r="B48" s="115" t="s">
        <v>542</v>
      </c>
      <c r="C48" s="122">
        <f>IFERROR(__xludf.DUMMYFUNCTION("IFERROR(GOOGLEFINANCE(""CURRENCY:""&amp;A48&amp;""GHS""),"""")"),1.195026)</f>
        <v>1.195026</v>
      </c>
      <c r="D48" s="119"/>
      <c r="E48" s="120">
        <f t="shared" si="1"/>
        <v>1.195026</v>
      </c>
      <c r="F48" s="22" t="str">
        <f t="shared" si="2"/>
        <v>GOOGLEFINANCE</v>
      </c>
      <c r="G48" s="121"/>
      <c r="H48" s="3"/>
      <c r="I48" s="3"/>
      <c r="J48" s="3"/>
      <c r="K48" s="3"/>
      <c r="L48" s="3"/>
      <c r="M48" s="3"/>
      <c r="N48" s="3"/>
      <c r="O48" s="3"/>
    </row>
    <row r="49" ht="15.75" customHeight="1">
      <c r="A49" s="115" t="s">
        <v>518</v>
      </c>
      <c r="B49" s="115" t="s">
        <v>542</v>
      </c>
      <c r="C49" s="122">
        <f>IFERROR(__xludf.DUMMYFUNCTION("IFERROR(GOOGLEFINANCE(""CURRENCY:""&amp;A49&amp;""GHS""),"""")"),1.7341040490000001)</f>
        <v>1.734104049</v>
      </c>
      <c r="D49" s="119"/>
      <c r="E49" s="120">
        <f t="shared" si="1"/>
        <v>1.734104049</v>
      </c>
      <c r="F49" s="22" t="str">
        <f t="shared" si="2"/>
        <v>GOOGLEFINANCE</v>
      </c>
      <c r="G49" s="121"/>
      <c r="H49" s="3"/>
      <c r="I49" s="3"/>
      <c r="J49" s="3"/>
      <c r="K49" s="3"/>
      <c r="L49" s="3"/>
      <c r="M49" s="3"/>
      <c r="N49" s="3"/>
      <c r="O49" s="3"/>
    </row>
    <row r="50" ht="15.75" customHeight="1">
      <c r="A50" s="115" t="s">
        <v>519</v>
      </c>
      <c r="B50" s="115" t="s">
        <v>543</v>
      </c>
      <c r="C50" s="122">
        <f>IFERROR(__xludf.DUMMYFUNCTION("IFERROR(GOOGLEFINANCE(""CURRENCY:""&amp;A50&amp;""GHS""),"""")"),3.0061341340000003)</f>
        <v>3.006134134</v>
      </c>
      <c r="D50" s="119"/>
      <c r="E50" s="120">
        <f t="shared" si="1"/>
        <v>3.006134134</v>
      </c>
      <c r="F50" s="22" t="str">
        <f t="shared" si="2"/>
        <v>GOOGLEFINANCE</v>
      </c>
      <c r="G50" s="121"/>
      <c r="H50" s="3"/>
      <c r="I50" s="3"/>
      <c r="J50" s="3"/>
      <c r="K50" s="3"/>
      <c r="L50" s="3"/>
      <c r="M50" s="3"/>
      <c r="N50" s="3"/>
      <c r="O50" s="3"/>
    </row>
    <row r="51" ht="15.75" customHeight="1">
      <c r="A51" s="115" t="s">
        <v>521</v>
      </c>
      <c r="B51" s="115" t="s">
        <v>544</v>
      </c>
      <c r="C51" s="122">
        <f>IFERROR(__xludf.DUMMYFUNCTION("IFERROR(GOOGLEFINANCE(""CURRENCY:""&amp;A51&amp;""GHS""),"""")"),0.5375667119)</f>
        <v>0.5375667119</v>
      </c>
      <c r="D51" s="119"/>
      <c r="E51" s="120">
        <f t="shared" si="1"/>
        <v>0.5375667119</v>
      </c>
      <c r="F51" s="22" t="str">
        <f t="shared" si="2"/>
        <v>GOOGLEFINANCE</v>
      </c>
      <c r="G51" s="121"/>
      <c r="H51" s="3"/>
      <c r="I51" s="3"/>
      <c r="J51" s="3"/>
      <c r="K51" s="3"/>
      <c r="L51" s="3"/>
      <c r="M51" s="3"/>
      <c r="N51" s="3"/>
      <c r="O51" s="3"/>
    </row>
    <row r="52" ht="15.75" customHeight="1">
      <c r="A52" s="115" t="s">
        <v>522</v>
      </c>
      <c r="B52" s="115" t="s">
        <v>545</v>
      </c>
      <c r="C52" s="122">
        <f>IFERROR(__xludf.DUMMYFUNCTION("IFERROR(GOOGLEFINANCE(""CURRENCY:""&amp;A52&amp;""GHS""),"""")"),0.035749368000000004)</f>
        <v>0.035749368</v>
      </c>
      <c r="D52" s="119"/>
      <c r="E52" s="120">
        <f t="shared" si="1"/>
        <v>0.035749368</v>
      </c>
      <c r="F52" s="22" t="str">
        <f t="shared" si="2"/>
        <v>GOOGLEFINANCE</v>
      </c>
      <c r="G52" s="121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123" t="s">
        <v>546</v>
      </c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D4"/>
    <mergeCell ref="A10:G10"/>
    <mergeCell ref="A1:R1"/>
    <mergeCell ref="A2:R2"/>
    <mergeCell ref="A36:G36"/>
    <mergeCell ref="A53:G53"/>
  </mergeCells>
  <conditionalFormatting sqref="F12">
    <cfRule type="cellIs" dxfId="10" priority="1" operator="notEqual">
      <formula>100</formula>
    </cfRule>
  </conditionalFormatting>
  <printOptions/>
  <pageMargins bottom="0.75" footer="0.0" header="0.0" left="0.7" right="0.7" top="0.75"/>
  <pageSetup orientation="landscape"/>
  <drawing r:id="rId1"/>
</worksheet>
</file>